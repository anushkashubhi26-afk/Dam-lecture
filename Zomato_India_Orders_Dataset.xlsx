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ata" sheetId="1" r:id="rId5"/>
    <sheet state="visible" name="Data_Dictionary" sheetId="2" r:id="rId6"/>
    <sheet state="visible" name="Case_Map" sheetId="3" r:id="rId7"/>
  </sheets>
  <definedNames>
    <definedName hidden="1" localSheetId="0" name="_xlnm._FilterDatabase">Orders_Data!$A$1:$O$201</definedName>
  </definedNames>
  <calcPr/>
</workbook>
</file>

<file path=xl/sharedStrings.xml><?xml version="1.0" encoding="utf-8"?>
<sst xmlns="http://schemas.openxmlformats.org/spreadsheetml/2006/main" count="1335" uniqueCount="321">
  <si>
    <t>Problem</t>
  </si>
  <si>
    <t>Variable</t>
  </si>
  <si>
    <t>Order_ID</t>
  </si>
  <si>
    <t>Order_Date</t>
  </si>
  <si>
    <t>City</t>
  </si>
  <si>
    <t>Cuisine</t>
  </si>
  <si>
    <t>Customer_Segment</t>
  </si>
  <si>
    <t>Platform</t>
  </si>
  <si>
    <t>Items_Count</t>
  </si>
  <si>
    <t>Type</t>
  </si>
  <si>
    <t>Order_Value</t>
  </si>
  <si>
    <t>Description</t>
  </si>
  <si>
    <t>Discount_Pct</t>
  </si>
  <si>
    <t>Example</t>
  </si>
  <si>
    <t>Delivery_Fee</t>
  </si>
  <si>
    <t>Used_For</t>
  </si>
  <si>
    <t>Payment_Mode</t>
  </si>
  <si>
    <t>Distance_Km</t>
  </si>
  <si>
    <t>Delivery_Time_Min</t>
  </si>
  <si>
    <t>Business problem (what the manager asks)</t>
  </si>
  <si>
    <t>Rating</t>
  </si>
  <si>
    <t>Variables used</t>
  </si>
  <si>
    <t>Notebook section</t>
  </si>
  <si>
    <t>Final_Amount</t>
  </si>
  <si>
    <t>Text (ID)</t>
  </si>
  <si>
    <t>Chart types</t>
  </si>
  <si>
    <t>Unique order number</t>
  </si>
  <si>
    <t>ZM1001</t>
  </si>
  <si>
    <t>All</t>
  </si>
  <si>
    <t>Date</t>
  </si>
  <si>
    <t>Date the order was placed (Jul-Sep 2026)</t>
  </si>
  <si>
    <t>02-Jul-2026</t>
  </si>
  <si>
    <t>BP1</t>
  </si>
  <si>
    <t>Category</t>
  </si>
  <si>
    <t>Delhi, Mumbai, Bengaluru, Hyderabad, Pune</t>
  </si>
  <si>
    <t>Mumbai</t>
  </si>
  <si>
    <t>BP1, BP2, BP3</t>
  </si>
  <si>
    <t>Type of food ordered (7 cuisines)</t>
  </si>
  <si>
    <t>Biryani</t>
  </si>
  <si>
    <t>BP1, BP3</t>
  </si>
  <si>
    <t>New, Regular or Gold (loyalty member)</t>
  </si>
  <si>
    <t>Gold</t>
  </si>
  <si>
    <t>BP5</t>
  </si>
  <si>
    <t>App or Web</t>
  </si>
  <si>
    <t>App</t>
  </si>
  <si>
    <t>Extra</t>
  </si>
  <si>
    <t>Number (whole)</t>
  </si>
  <si>
    <t>Number of items in the order</t>
  </si>
  <si>
    <t>3</t>
  </si>
  <si>
    <t>Which cities and cuisines earn the most, and is demand growing month by month?</t>
  </si>
  <si>
    <t>BP4</t>
  </si>
  <si>
    <t>City, Cuisine, Order_Date, Final_Amount</t>
  </si>
  <si>
    <t>Sections 2, 3, 4, 5 (trend)</t>
  </si>
  <si>
    <t>Number (Rs)</t>
  </si>
  <si>
    <t>Bar, Line, Pie</t>
  </si>
  <si>
    <t>Food value before discount</t>
  </si>
  <si>
    <t>660</t>
  </si>
  <si>
    <t>BP4, BP5</t>
  </si>
  <si>
    <t>BP2</t>
  </si>
  <si>
    <t>Are deliveries slow in some cities or for long distances, and does slow delivery lower ratings?</t>
  </si>
  <si>
    <t>Number (%)</t>
  </si>
  <si>
    <t>Delhi</t>
  </si>
  <si>
    <t>City, Distance_Km, Delivery_Time_Min, Rating</t>
  </si>
  <si>
    <t>Discount on the order (0% to 20%)</t>
  </si>
  <si>
    <t>Sections 3, 4, 5 (pattern)</t>
  </si>
  <si>
    <t>Regular</t>
  </si>
  <si>
    <t>10%</t>
  </si>
  <si>
    <t>Scatter, Boxplot, Bar</t>
  </si>
  <si>
    <t>BP3</t>
  </si>
  <si>
    <t>Delivery charge (free for Gold members and large orders)</t>
  </si>
  <si>
    <t>Which city-cuisine combinations have no or very few orders (gaps)?</t>
  </si>
  <si>
    <t>40</t>
  </si>
  <si>
    <t>City, Cuisine</t>
  </si>
  <si>
    <t>Sections 3, 4, 5 (gap)</t>
  </si>
  <si>
    <t>Heatmap</t>
  </si>
  <si>
    <t>UPI, Card, Cash on Delivery or Wallet</t>
  </si>
  <si>
    <t>UPI</t>
  </si>
  <si>
    <t>Are there unusual orders (very big or very slow) that distort the averages?</t>
  </si>
  <si>
    <t>Number (km)</t>
  </si>
  <si>
    <t>Final_Amount, Delivery_Time_Min, Items_Count</t>
  </si>
  <si>
    <t>Distance from restaurant to customer</t>
  </si>
  <si>
    <t>Sections 2, 4, 5 (outliers)</t>
  </si>
  <si>
    <t>4.5</t>
  </si>
  <si>
    <t>Histogram, Boxplot</t>
  </si>
  <si>
    <t>Number (minutes)</t>
  </si>
  <si>
    <t>Which customer segments, discounts and payment modes drive value?</t>
  </si>
  <si>
    <t>Time from order to delivery</t>
  </si>
  <si>
    <t>Card</t>
  </si>
  <si>
    <t>Customer_Segment, Discount_Pct, Payment_Mode, Final_Amount</t>
  </si>
  <si>
    <t>32</t>
  </si>
  <si>
    <t>Sections 2, 3, 4</t>
  </si>
  <si>
    <t>BP2, BP4</t>
  </si>
  <si>
    <t>Bar, Boxplot, Pie</t>
  </si>
  <si>
    <t>Deliverable</t>
  </si>
  <si>
    <t>Number (1-5)</t>
  </si>
  <si>
    <t>A short, verified brief for the city manager.</t>
  </si>
  <si>
    <t>Customer rating. 8 values are intentionally blank (missing)</t>
  </si>
  <si>
    <t>All of the above</t>
  </si>
  <si>
    <t>4</t>
  </si>
  <si>
    <t>Sections 6, 7, 8, 9</t>
  </si>
  <si>
    <t>Findings table, AI draft, verification</t>
  </si>
  <si>
    <t>Formula: Order_Value x (1 - Discount_Pct) + Delivery_Fee</t>
  </si>
  <si>
    <t>594.00</t>
  </si>
  <si>
    <t>BP1, BP4, BP5</t>
  </si>
  <si>
    <t>Notes and assumptions:</t>
  </si>
  <si>
    <t>1. This is SYNTHETIC (made-up) data for teaching. It is not real Zomato data.</t>
  </si>
  <si>
    <t>2. The dataset deliberately contains: missing ratings, one very large order, two very slow deliveries,</t>
  </si>
  <si>
    <t xml:space="preserve">   a month-by-month growth trend, and one city-cuisine gap (no South Indian orders in Delhi).</t>
  </si>
  <si>
    <t>3. Final_Amount is an Excel formula; Pandas reads the calculated value.</t>
  </si>
  <si>
    <t>ZM1002</t>
  </si>
  <si>
    <t>Web</t>
  </si>
  <si>
    <t>Wallet</t>
  </si>
  <si>
    <t>ZM1003</t>
  </si>
  <si>
    <t>North Indian</t>
  </si>
  <si>
    <t>New</t>
  </si>
  <si>
    <t>ZM1004</t>
  </si>
  <si>
    <t>ZM1005</t>
  </si>
  <si>
    <t>Pune</t>
  </si>
  <si>
    <t>Burgers</t>
  </si>
  <si>
    <t>ZM1006</t>
  </si>
  <si>
    <t>ZM1007</t>
  </si>
  <si>
    <t>Bengaluru</t>
  </si>
  <si>
    <t>ZM1008</t>
  </si>
  <si>
    <t>ZM1009</t>
  </si>
  <si>
    <t>Pizza</t>
  </si>
  <si>
    <t>ZM1010</t>
  </si>
  <si>
    <t>ZM1011</t>
  </si>
  <si>
    <t>Cash on Delivery</t>
  </si>
  <si>
    <t>ZM1012</t>
  </si>
  <si>
    <t>ZM1013</t>
  </si>
  <si>
    <t>South Indian</t>
  </si>
  <si>
    <t>ZM1014</t>
  </si>
  <si>
    <t>Chinese</t>
  </si>
  <si>
    <t>ZM1015</t>
  </si>
  <si>
    <t>ZM1016</t>
  </si>
  <si>
    <t>ZM1017</t>
  </si>
  <si>
    <t>ZM1018</t>
  </si>
  <si>
    <t>ZM1019</t>
  </si>
  <si>
    <t>ZM1020</t>
  </si>
  <si>
    <t>ZM1021</t>
  </si>
  <si>
    <t>ZM1022</t>
  </si>
  <si>
    <t>ZM1023</t>
  </si>
  <si>
    <t>Hyderabad</t>
  </si>
  <si>
    <t>ZM1024</t>
  </si>
  <si>
    <t>ZM1025</t>
  </si>
  <si>
    <t>Desserts</t>
  </si>
  <si>
    <t>ZM1026</t>
  </si>
  <si>
    <t>ZM1027</t>
  </si>
  <si>
    <t>ZM1028</t>
  </si>
  <si>
    <t>ZM1029</t>
  </si>
  <si>
    <t>ZM1030</t>
  </si>
  <si>
    <t>ZM1031</t>
  </si>
  <si>
    <t>ZM1032</t>
  </si>
  <si>
    <t>ZM1033</t>
  </si>
  <si>
    <t>ZM1034</t>
  </si>
  <si>
    <t>ZM1035</t>
  </si>
  <si>
    <t>ZM1036</t>
  </si>
  <si>
    <t>ZM1037</t>
  </si>
  <si>
    <t>ZM1038</t>
  </si>
  <si>
    <t>ZM1039</t>
  </si>
  <si>
    <t>ZM1040</t>
  </si>
  <si>
    <t>ZM1041</t>
  </si>
  <si>
    <t>ZM1042</t>
  </si>
  <si>
    <t>ZM1043</t>
  </si>
  <si>
    <t>ZM1044</t>
  </si>
  <si>
    <t>ZM1045</t>
  </si>
  <si>
    <t>ZM1046</t>
  </si>
  <si>
    <t>ZM1047</t>
  </si>
  <si>
    <t>ZM1048</t>
  </si>
  <si>
    <t>ZM1049</t>
  </si>
  <si>
    <t>ZM1050</t>
  </si>
  <si>
    <t>ZM1051</t>
  </si>
  <si>
    <t>ZM1052</t>
  </si>
  <si>
    <t>ZM1053</t>
  </si>
  <si>
    <t>ZM1054</t>
  </si>
  <si>
    <t>ZM1055</t>
  </si>
  <si>
    <t>ZM1056</t>
  </si>
  <si>
    <t>ZM1057</t>
  </si>
  <si>
    <t>ZM1058</t>
  </si>
  <si>
    <t>ZM1059</t>
  </si>
  <si>
    <t>ZM1060</t>
  </si>
  <si>
    <t>ZM1061</t>
  </si>
  <si>
    <t>ZM1062</t>
  </si>
  <si>
    <t>ZM1063</t>
  </si>
  <si>
    <t>ZM1064</t>
  </si>
  <si>
    <t>ZM1065</t>
  </si>
  <si>
    <t>ZM1066</t>
  </si>
  <si>
    <t>ZM1067</t>
  </si>
  <si>
    <t>ZM1068</t>
  </si>
  <si>
    <t>ZM1069</t>
  </si>
  <si>
    <t>ZM1070</t>
  </si>
  <si>
    <t>ZM1071</t>
  </si>
  <si>
    <t>ZM1072</t>
  </si>
  <si>
    <t>ZM1073</t>
  </si>
  <si>
    <t>ZM1074</t>
  </si>
  <si>
    <t>ZM1075</t>
  </si>
  <si>
    <t>ZM1076</t>
  </si>
  <si>
    <t>ZM1077</t>
  </si>
  <si>
    <t>ZM1078</t>
  </si>
  <si>
    <t>ZM1079</t>
  </si>
  <si>
    <t>ZM1080</t>
  </si>
  <si>
    <t>ZM1081</t>
  </si>
  <si>
    <t>ZM1082</t>
  </si>
  <si>
    <t>ZM1083</t>
  </si>
  <si>
    <t>ZM1084</t>
  </si>
  <si>
    <t>ZM1085</t>
  </si>
  <si>
    <t>ZM1086</t>
  </si>
  <si>
    <t>ZM1087</t>
  </si>
  <si>
    <t>ZM1088</t>
  </si>
  <si>
    <t>ZM1089</t>
  </si>
  <si>
    <t>ZM1090</t>
  </si>
  <si>
    <t>ZM1091</t>
  </si>
  <si>
    <t>ZM1092</t>
  </si>
  <si>
    <t>ZM1093</t>
  </si>
  <si>
    <t>ZM1094</t>
  </si>
  <si>
    <t>ZM1095</t>
  </si>
  <si>
    <t>ZM1096</t>
  </si>
  <si>
    <t>ZM1097</t>
  </si>
  <si>
    <t>ZM1098</t>
  </si>
  <si>
    <t>ZM1099</t>
  </si>
  <si>
    <t>ZM1100</t>
  </si>
  <si>
    <t>ZM1101</t>
  </si>
  <si>
    <t>ZM1102</t>
  </si>
  <si>
    <t>ZM1103</t>
  </si>
  <si>
    <t>ZM1104</t>
  </si>
  <si>
    <t>ZM1105</t>
  </si>
  <si>
    <t>ZM1106</t>
  </si>
  <si>
    <t>ZM1107</t>
  </si>
  <si>
    <t>ZM1108</t>
  </si>
  <si>
    <t>ZM1109</t>
  </si>
  <si>
    <t>ZM1110</t>
  </si>
  <si>
    <t>ZM1111</t>
  </si>
  <si>
    <t>ZM1112</t>
  </si>
  <si>
    <t>ZM1113</t>
  </si>
  <si>
    <t>ZM1114</t>
  </si>
  <si>
    <t>ZM1115</t>
  </si>
  <si>
    <t>ZM1116</t>
  </si>
  <si>
    <t>ZM1117</t>
  </si>
  <si>
    <t>ZM1118</t>
  </si>
  <si>
    <t>ZM1119</t>
  </si>
  <si>
    <t>ZM1120</t>
  </si>
  <si>
    <t>ZM1121</t>
  </si>
  <si>
    <t>ZM1122</t>
  </si>
  <si>
    <t>ZM1123</t>
  </si>
  <si>
    <t>ZM1124</t>
  </si>
  <si>
    <t>ZM1125</t>
  </si>
  <si>
    <t>ZM1126</t>
  </si>
  <si>
    <t>ZM1127</t>
  </si>
  <si>
    <t>ZM1128</t>
  </si>
  <si>
    <t>ZM1129</t>
  </si>
  <si>
    <t>ZM1130</t>
  </si>
  <si>
    <t>ZM1131</t>
  </si>
  <si>
    <t>ZM1132</t>
  </si>
  <si>
    <t>ZM1133</t>
  </si>
  <si>
    <t>ZM1134</t>
  </si>
  <si>
    <t>ZM1135</t>
  </si>
  <si>
    <t>ZM1136</t>
  </si>
  <si>
    <t>ZM1137</t>
  </si>
  <si>
    <t>ZM1138</t>
  </si>
  <si>
    <t>ZM1139</t>
  </si>
  <si>
    <t>ZM1140</t>
  </si>
  <si>
    <t>ZM1141</t>
  </si>
  <si>
    <t>ZM1142</t>
  </si>
  <si>
    <t>ZM1143</t>
  </si>
  <si>
    <t>ZM1144</t>
  </si>
  <si>
    <t>ZM1145</t>
  </si>
  <si>
    <t>ZM1146</t>
  </si>
  <si>
    <t>ZM1147</t>
  </si>
  <si>
    <t>ZM1148</t>
  </si>
  <si>
    <t>ZM1149</t>
  </si>
  <si>
    <t>ZM1150</t>
  </si>
  <si>
    <t>ZM1151</t>
  </si>
  <si>
    <t>ZM1152</t>
  </si>
  <si>
    <t>ZM1153</t>
  </si>
  <si>
    <t>ZM1154</t>
  </si>
  <si>
    <t>ZM1155</t>
  </si>
  <si>
    <t>ZM1156</t>
  </si>
  <si>
    <t>ZM1157</t>
  </si>
  <si>
    <t>ZM1158</t>
  </si>
  <si>
    <t>ZM1159</t>
  </si>
  <si>
    <t>ZM1160</t>
  </si>
  <si>
    <t>ZM1161</t>
  </si>
  <si>
    <t>ZM1162</t>
  </si>
  <si>
    <t>ZM1163</t>
  </si>
  <si>
    <t>ZM1164</t>
  </si>
  <si>
    <t>ZM1165</t>
  </si>
  <si>
    <t>ZM1166</t>
  </si>
  <si>
    <t>ZM1167</t>
  </si>
  <si>
    <t>ZM1168</t>
  </si>
  <si>
    <t>ZM1169</t>
  </si>
  <si>
    <t>ZM1170</t>
  </si>
  <si>
    <t>ZM1171</t>
  </si>
  <si>
    <t>ZM1172</t>
  </si>
  <si>
    <t>ZM1173</t>
  </si>
  <si>
    <t>ZM1174</t>
  </si>
  <si>
    <t>ZM1175</t>
  </si>
  <si>
    <t>ZM1176</t>
  </si>
  <si>
    <t>ZM1177</t>
  </si>
  <si>
    <t>ZM1178</t>
  </si>
  <si>
    <t>ZM1179</t>
  </si>
  <si>
    <t>ZM1180</t>
  </si>
  <si>
    <t>ZM1181</t>
  </si>
  <si>
    <t>ZM1182</t>
  </si>
  <si>
    <t>ZM1183</t>
  </si>
  <si>
    <t>ZM1184</t>
  </si>
  <si>
    <t>ZM1185</t>
  </si>
  <si>
    <t>ZM1186</t>
  </si>
  <si>
    <t>ZM1187</t>
  </si>
  <si>
    <t>ZM1188</t>
  </si>
  <si>
    <t>ZM1189</t>
  </si>
  <si>
    <t>ZM1190</t>
  </si>
  <si>
    <t>ZM1191</t>
  </si>
  <si>
    <t>ZM1192</t>
  </si>
  <si>
    <t>ZM1193</t>
  </si>
  <si>
    <t>ZM1194</t>
  </si>
  <si>
    <t>ZM1195</t>
  </si>
  <si>
    <t>ZM1196</t>
  </si>
  <si>
    <t>ZM1197</t>
  </si>
  <si>
    <t>ZM1198</t>
  </si>
  <si>
    <t>ZM1199</t>
  </si>
  <si>
    <t>ZM1200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</si>
</sst>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b/>
      <sz val="10.0"/>
      <color rgb="FFFFFFFF"/>
      <name val="Arial"/>
    </font>
    <font>
      <sz val="10.0"/>
      <color theme="1"/>
      <name val="Arial"/>
    </font>
    <font>
      <color rgb="FF000000"/>
      <name val="Calibri"/>
      <scheme val="minor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B202D"/>
        <bgColor rgb="FFCB202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0" fillId="0" fontId="4" numFmtId="0" xfId="0" applyFont="1"/>
    <xf borderId="1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shrinkToFit="0" vertical="top" wrapText="1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3" xfId="0" applyAlignment="1" applyBorder="1" applyFont="1" applyNumberFormat="1">
      <alignment shrinkToFit="0" vertical="bottom" wrapText="0"/>
    </xf>
    <xf borderId="1" fillId="0" fontId="3" numFmtId="9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3" numFmtId="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4.0"/>
    <col customWidth="1" min="5" max="5" width="18.0"/>
    <col customWidth="1" min="6" max="6" width="10.0"/>
    <col customWidth="1" min="7" max="8" width="12.0"/>
    <col customWidth="1" min="9" max="9" width="13.0"/>
    <col customWidth="1" min="10" max="10" width="12.0"/>
    <col customWidth="1" min="11" max="11" width="18.0"/>
    <col customWidth="1" min="12" max="12" width="12.0"/>
    <col customWidth="1" min="13" max="13" width="18.0"/>
    <col customWidth="1" min="14" max="14" width="8.0"/>
    <col customWidth="1" min="15" max="15" width="14.0"/>
    <col customWidth="1" min="16" max="26" width="8.71"/>
  </cols>
  <sheetData>
    <row r="1" ht="27.7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20</v>
      </c>
      <c r="O1" s="1" t="s">
        <v>23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27</v>
      </c>
      <c r="B2" s="7">
        <v>46204.0</v>
      </c>
      <c r="C2" s="5" t="s">
        <v>61</v>
      </c>
      <c r="D2" s="5" t="s">
        <v>38</v>
      </c>
      <c r="E2" s="5" t="s">
        <v>65</v>
      </c>
      <c r="F2" s="5" t="s">
        <v>44</v>
      </c>
      <c r="G2" s="3">
        <v>3.0</v>
      </c>
      <c r="H2" s="8">
        <v>790.0</v>
      </c>
      <c r="I2" s="9">
        <v>0.0</v>
      </c>
      <c r="J2" s="8">
        <v>0.0</v>
      </c>
      <c r="K2" s="5" t="s">
        <v>87</v>
      </c>
      <c r="L2" s="10">
        <v>5.2</v>
      </c>
      <c r="M2" s="3">
        <v>33.0</v>
      </c>
      <c r="N2" s="3">
        <v>5.0</v>
      </c>
      <c r="O2" s="13">
        <f t="shared" ref="O2:O201" si="1">ROUND(H2*(1-I2)+J2,2)</f>
        <v>790</v>
      </c>
    </row>
    <row r="3">
      <c r="A3" s="5" t="s">
        <v>109</v>
      </c>
      <c r="B3" s="7">
        <v>46205.0</v>
      </c>
      <c r="C3" s="5" t="s">
        <v>61</v>
      </c>
      <c r="D3" s="5" t="s">
        <v>38</v>
      </c>
      <c r="E3" s="5" t="s">
        <v>65</v>
      </c>
      <c r="F3" s="5" t="s">
        <v>110</v>
      </c>
      <c r="G3" s="3">
        <v>4.0</v>
      </c>
      <c r="H3" s="8">
        <v>1160.0</v>
      </c>
      <c r="I3" s="9">
        <v>0.0</v>
      </c>
      <c r="J3" s="8">
        <v>0.0</v>
      </c>
      <c r="K3" s="5" t="s">
        <v>111</v>
      </c>
      <c r="L3" s="10">
        <v>9.2</v>
      </c>
      <c r="M3" s="3">
        <v>43.0</v>
      </c>
      <c r="N3" s="3">
        <v>3.0</v>
      </c>
      <c r="O3" s="13">
        <f t="shared" si="1"/>
        <v>1160</v>
      </c>
    </row>
    <row r="4">
      <c r="A4" s="5" t="s">
        <v>112</v>
      </c>
      <c r="B4" s="7">
        <v>46206.0</v>
      </c>
      <c r="C4" s="5" t="s">
        <v>61</v>
      </c>
      <c r="D4" s="5" t="s">
        <v>113</v>
      </c>
      <c r="E4" s="5" t="s">
        <v>114</v>
      </c>
      <c r="F4" s="5" t="s">
        <v>44</v>
      </c>
      <c r="G4" s="3">
        <v>3.0</v>
      </c>
      <c r="H4" s="8">
        <v>610.0</v>
      </c>
      <c r="I4" s="9">
        <v>0.0</v>
      </c>
      <c r="J4" s="8">
        <v>0.0</v>
      </c>
      <c r="K4" s="5" t="s">
        <v>76</v>
      </c>
      <c r="L4" s="10">
        <v>6.6</v>
      </c>
      <c r="M4" s="3">
        <v>33.0</v>
      </c>
      <c r="N4" s="3">
        <v>4.0</v>
      </c>
      <c r="O4" s="13">
        <f t="shared" si="1"/>
        <v>610</v>
      </c>
    </row>
    <row r="5">
      <c r="A5" s="5" t="s">
        <v>115</v>
      </c>
      <c r="B5" s="7">
        <v>46206.0</v>
      </c>
      <c r="C5" s="5" t="s">
        <v>35</v>
      </c>
      <c r="D5" s="5" t="s">
        <v>113</v>
      </c>
      <c r="E5" s="5" t="s">
        <v>114</v>
      </c>
      <c r="F5" s="5" t="s">
        <v>44</v>
      </c>
      <c r="G5" s="3">
        <v>3.0</v>
      </c>
      <c r="H5" s="8">
        <v>650.0</v>
      </c>
      <c r="I5" s="9">
        <v>0.0</v>
      </c>
      <c r="J5" s="8">
        <v>0.0</v>
      </c>
      <c r="K5" s="5" t="s">
        <v>76</v>
      </c>
      <c r="L5" s="10">
        <v>5.8</v>
      </c>
      <c r="M5" s="3">
        <v>39.0</v>
      </c>
      <c r="N5" s="3">
        <v>4.0</v>
      </c>
      <c r="O5" s="13">
        <f t="shared" si="1"/>
        <v>650</v>
      </c>
    </row>
    <row r="6">
      <c r="A6" s="5" t="s">
        <v>116</v>
      </c>
      <c r="B6" s="7">
        <v>46206.0</v>
      </c>
      <c r="C6" s="5" t="s">
        <v>117</v>
      </c>
      <c r="D6" s="5" t="s">
        <v>118</v>
      </c>
      <c r="E6" s="5" t="s">
        <v>41</v>
      </c>
      <c r="F6" s="5" t="s">
        <v>44</v>
      </c>
      <c r="G6" s="3">
        <v>6.0</v>
      </c>
      <c r="H6" s="8">
        <v>1100.0</v>
      </c>
      <c r="I6" s="9">
        <v>0.1</v>
      </c>
      <c r="J6" s="8">
        <v>0.0</v>
      </c>
      <c r="K6" s="5" t="s">
        <v>87</v>
      </c>
      <c r="L6" s="10">
        <v>8.8</v>
      </c>
      <c r="M6" s="3">
        <v>45.0</v>
      </c>
      <c r="N6" s="3">
        <v>5.0</v>
      </c>
      <c r="O6" s="13">
        <f t="shared" si="1"/>
        <v>990</v>
      </c>
    </row>
    <row r="7">
      <c r="A7" s="5" t="s">
        <v>119</v>
      </c>
      <c r="B7" s="7">
        <v>46207.0</v>
      </c>
      <c r="C7" s="5" t="s">
        <v>117</v>
      </c>
      <c r="D7" s="5" t="s">
        <v>118</v>
      </c>
      <c r="E7" s="5" t="s">
        <v>114</v>
      </c>
      <c r="F7" s="5" t="s">
        <v>110</v>
      </c>
      <c r="G7" s="3">
        <v>3.0</v>
      </c>
      <c r="H7" s="8">
        <v>470.0</v>
      </c>
      <c r="I7" s="9">
        <v>0.0</v>
      </c>
      <c r="J7" s="8">
        <v>50.0</v>
      </c>
      <c r="K7" s="5" t="s">
        <v>76</v>
      </c>
      <c r="L7" s="10">
        <v>4.5</v>
      </c>
      <c r="M7" s="3">
        <v>31.0</v>
      </c>
      <c r="N7" s="3">
        <v>5.0</v>
      </c>
      <c r="O7" s="13">
        <f t="shared" si="1"/>
        <v>520</v>
      </c>
    </row>
    <row r="8">
      <c r="A8" s="5" t="s">
        <v>120</v>
      </c>
      <c r="B8" s="7">
        <v>46208.0</v>
      </c>
      <c r="C8" s="5" t="s">
        <v>121</v>
      </c>
      <c r="D8" s="5" t="s">
        <v>38</v>
      </c>
      <c r="E8" s="5" t="s">
        <v>114</v>
      </c>
      <c r="F8" s="5" t="s">
        <v>44</v>
      </c>
      <c r="G8" s="3">
        <v>6.0</v>
      </c>
      <c r="H8" s="8">
        <v>1730.0</v>
      </c>
      <c r="I8" s="9">
        <v>0.0</v>
      </c>
      <c r="J8" s="8">
        <v>0.0</v>
      </c>
      <c r="K8" s="5" t="s">
        <v>111</v>
      </c>
      <c r="L8" s="10">
        <v>2.0</v>
      </c>
      <c r="M8" s="3">
        <v>35.0</v>
      </c>
      <c r="N8" s="3">
        <v>4.0</v>
      </c>
      <c r="O8" s="13">
        <f t="shared" si="1"/>
        <v>1730</v>
      </c>
    </row>
    <row r="9">
      <c r="A9" s="5" t="s">
        <v>122</v>
      </c>
      <c r="B9" s="7">
        <v>46209.0</v>
      </c>
      <c r="C9" s="5" t="s">
        <v>35</v>
      </c>
      <c r="D9" s="5" t="s">
        <v>113</v>
      </c>
      <c r="E9" s="5" t="s">
        <v>114</v>
      </c>
      <c r="F9" s="5" t="s">
        <v>44</v>
      </c>
      <c r="G9" s="3">
        <v>3.0</v>
      </c>
      <c r="H9" s="8">
        <v>660.0</v>
      </c>
      <c r="I9" s="9">
        <v>0.0</v>
      </c>
      <c r="J9" s="8">
        <v>0.0</v>
      </c>
      <c r="K9" s="5" t="s">
        <v>111</v>
      </c>
      <c r="L9" s="10">
        <v>7.9</v>
      </c>
      <c r="M9" s="3">
        <v>49.0</v>
      </c>
      <c r="N9" s="3">
        <v>3.0</v>
      </c>
      <c r="O9" s="13">
        <f t="shared" si="1"/>
        <v>660</v>
      </c>
    </row>
    <row r="10">
      <c r="A10" s="5" t="s">
        <v>123</v>
      </c>
      <c r="B10" s="7">
        <v>46210.0</v>
      </c>
      <c r="C10" s="5" t="s">
        <v>121</v>
      </c>
      <c r="D10" s="5" t="s">
        <v>124</v>
      </c>
      <c r="E10" s="5" t="s">
        <v>65</v>
      </c>
      <c r="F10" s="5" t="s">
        <v>110</v>
      </c>
      <c r="G10" s="3">
        <v>2.0</v>
      </c>
      <c r="H10" s="8">
        <v>600.0</v>
      </c>
      <c r="I10" s="9">
        <v>0.1</v>
      </c>
      <c r="J10" s="8">
        <v>0.0</v>
      </c>
      <c r="K10" s="5" t="s">
        <v>87</v>
      </c>
      <c r="L10" s="10">
        <v>11.0</v>
      </c>
      <c r="M10" s="3">
        <v>56.0</v>
      </c>
      <c r="N10" s="3">
        <v>3.0</v>
      </c>
      <c r="O10" s="13">
        <f t="shared" si="1"/>
        <v>540</v>
      </c>
    </row>
    <row r="11">
      <c r="A11" s="5" t="s">
        <v>125</v>
      </c>
      <c r="B11" s="7">
        <v>46211.0</v>
      </c>
      <c r="C11" s="5" t="s">
        <v>61</v>
      </c>
      <c r="D11" s="5" t="s">
        <v>124</v>
      </c>
      <c r="E11" s="5" t="s">
        <v>114</v>
      </c>
      <c r="F11" s="5" t="s">
        <v>110</v>
      </c>
      <c r="G11" s="3">
        <v>2.0</v>
      </c>
      <c r="H11" s="8">
        <v>630.0</v>
      </c>
      <c r="I11" s="9">
        <v>0.2</v>
      </c>
      <c r="J11" s="8">
        <v>0.0</v>
      </c>
      <c r="K11" s="5" t="s">
        <v>111</v>
      </c>
      <c r="L11" s="10">
        <v>10.8</v>
      </c>
      <c r="M11" s="3">
        <v>49.0</v>
      </c>
      <c r="N11" s="3">
        <v>2.0</v>
      </c>
      <c r="O11" s="13">
        <f t="shared" si="1"/>
        <v>504</v>
      </c>
    </row>
    <row r="12">
      <c r="A12" s="5" t="s">
        <v>126</v>
      </c>
      <c r="B12" s="7">
        <v>46211.0</v>
      </c>
      <c r="C12" s="5" t="s">
        <v>121</v>
      </c>
      <c r="D12" s="5" t="s">
        <v>113</v>
      </c>
      <c r="E12" s="5" t="s">
        <v>65</v>
      </c>
      <c r="F12" s="5" t="s">
        <v>44</v>
      </c>
      <c r="G12" s="3">
        <v>2.0</v>
      </c>
      <c r="H12" s="8">
        <v>490.0</v>
      </c>
      <c r="I12" s="9">
        <v>0.05</v>
      </c>
      <c r="J12" s="8">
        <v>50.0</v>
      </c>
      <c r="K12" s="5" t="s">
        <v>127</v>
      </c>
      <c r="L12" s="10">
        <v>12.0</v>
      </c>
      <c r="M12" s="3">
        <v>58.0</v>
      </c>
      <c r="N12" s="3">
        <v>3.0</v>
      </c>
      <c r="O12" s="13">
        <f t="shared" si="1"/>
        <v>515.5</v>
      </c>
    </row>
    <row r="13">
      <c r="A13" s="5" t="s">
        <v>128</v>
      </c>
      <c r="B13" s="7">
        <v>46212.0</v>
      </c>
      <c r="C13" s="5" t="s">
        <v>117</v>
      </c>
      <c r="D13" s="5" t="s">
        <v>113</v>
      </c>
      <c r="E13" s="5" t="s">
        <v>114</v>
      </c>
      <c r="F13" s="5" t="s">
        <v>44</v>
      </c>
      <c r="G13" s="3">
        <v>3.0</v>
      </c>
      <c r="H13" s="8">
        <v>620.0</v>
      </c>
      <c r="I13" s="9">
        <v>0.1</v>
      </c>
      <c r="J13" s="8">
        <v>0.0</v>
      </c>
      <c r="K13" s="5" t="s">
        <v>76</v>
      </c>
      <c r="L13" s="10">
        <v>1.9</v>
      </c>
      <c r="M13" s="3">
        <v>23.0</v>
      </c>
      <c r="N13" s="3">
        <v>5.0</v>
      </c>
      <c r="O13" s="13">
        <f t="shared" si="1"/>
        <v>558</v>
      </c>
    </row>
    <row r="14">
      <c r="A14" s="5" t="s">
        <v>129</v>
      </c>
      <c r="B14" s="7">
        <v>46212.0</v>
      </c>
      <c r="C14" s="5" t="s">
        <v>117</v>
      </c>
      <c r="D14" s="5" t="s">
        <v>130</v>
      </c>
      <c r="E14" s="5" t="s">
        <v>114</v>
      </c>
      <c r="F14" s="5" t="s">
        <v>44</v>
      </c>
      <c r="G14" s="3">
        <v>5.0</v>
      </c>
      <c r="H14" s="8">
        <v>640.0</v>
      </c>
      <c r="I14" s="9">
        <v>0.1</v>
      </c>
      <c r="J14" s="8">
        <v>0.0</v>
      </c>
      <c r="K14" s="5" t="s">
        <v>76</v>
      </c>
      <c r="L14" s="10">
        <v>3.3</v>
      </c>
      <c r="M14" s="3">
        <v>30.0</v>
      </c>
      <c r="N14" s="3">
        <v>4.0</v>
      </c>
      <c r="O14" s="13">
        <f t="shared" si="1"/>
        <v>576</v>
      </c>
    </row>
    <row r="15">
      <c r="A15" s="5" t="s">
        <v>131</v>
      </c>
      <c r="B15" s="7">
        <v>46212.0</v>
      </c>
      <c r="C15" s="5" t="s">
        <v>61</v>
      </c>
      <c r="D15" s="5" t="s">
        <v>132</v>
      </c>
      <c r="E15" s="5" t="s">
        <v>114</v>
      </c>
      <c r="F15" s="5" t="s">
        <v>110</v>
      </c>
      <c r="G15" s="3">
        <v>3.0</v>
      </c>
      <c r="H15" s="8">
        <v>540.0</v>
      </c>
      <c r="I15" s="9">
        <v>0.1</v>
      </c>
      <c r="J15" s="8">
        <v>0.0</v>
      </c>
      <c r="K15" s="5" t="s">
        <v>87</v>
      </c>
      <c r="L15" s="10">
        <v>0.7</v>
      </c>
      <c r="M15" s="3">
        <v>18.0</v>
      </c>
      <c r="N15" s="3">
        <v>5.0</v>
      </c>
      <c r="O15" s="13">
        <f t="shared" si="1"/>
        <v>486</v>
      </c>
    </row>
    <row r="16">
      <c r="A16" s="5" t="s">
        <v>133</v>
      </c>
      <c r="B16" s="7">
        <v>46213.0</v>
      </c>
      <c r="C16" s="5" t="s">
        <v>121</v>
      </c>
      <c r="D16" s="5" t="s">
        <v>124</v>
      </c>
      <c r="E16" s="5" t="s">
        <v>114</v>
      </c>
      <c r="F16" s="5" t="s">
        <v>44</v>
      </c>
      <c r="G16" s="3">
        <v>1.0</v>
      </c>
      <c r="H16" s="8">
        <v>260.0</v>
      </c>
      <c r="I16" s="9">
        <v>0.2</v>
      </c>
      <c r="J16" s="8">
        <v>30.0</v>
      </c>
      <c r="K16" s="5" t="s">
        <v>87</v>
      </c>
      <c r="L16" s="10">
        <v>7.6</v>
      </c>
      <c r="M16" s="3">
        <v>41.0</v>
      </c>
      <c r="N16" s="3">
        <v>4.0</v>
      </c>
      <c r="O16" s="13">
        <f t="shared" si="1"/>
        <v>238</v>
      </c>
    </row>
    <row r="17">
      <c r="A17" s="5" t="s">
        <v>134</v>
      </c>
      <c r="B17" s="7">
        <v>46213.0</v>
      </c>
      <c r="C17" s="5" t="s">
        <v>121</v>
      </c>
      <c r="D17" s="5" t="s">
        <v>38</v>
      </c>
      <c r="E17" s="5" t="s">
        <v>65</v>
      </c>
      <c r="F17" s="5" t="s">
        <v>110</v>
      </c>
      <c r="G17" s="3">
        <v>1.0</v>
      </c>
      <c r="H17" s="8">
        <v>240.0</v>
      </c>
      <c r="I17" s="9">
        <v>0.1</v>
      </c>
      <c r="J17" s="8">
        <v>30.0</v>
      </c>
      <c r="K17" s="5" t="s">
        <v>76</v>
      </c>
      <c r="L17" s="10">
        <v>0.5</v>
      </c>
      <c r="M17" s="3">
        <v>22.0</v>
      </c>
      <c r="N17" s="3">
        <v>5.0</v>
      </c>
      <c r="O17" s="13">
        <f t="shared" si="1"/>
        <v>246</v>
      </c>
    </row>
    <row r="18">
      <c r="A18" s="5" t="s">
        <v>135</v>
      </c>
      <c r="B18" s="7">
        <v>46213.0</v>
      </c>
      <c r="C18" s="5" t="s">
        <v>61</v>
      </c>
      <c r="D18" s="5" t="s">
        <v>113</v>
      </c>
      <c r="E18" s="5" t="s">
        <v>65</v>
      </c>
      <c r="F18" s="5" t="s">
        <v>44</v>
      </c>
      <c r="G18" s="3">
        <v>3.0</v>
      </c>
      <c r="H18" s="8">
        <v>570.0</v>
      </c>
      <c r="I18" s="9">
        <v>0.05</v>
      </c>
      <c r="J18" s="8">
        <v>0.0</v>
      </c>
      <c r="K18" s="5" t="s">
        <v>76</v>
      </c>
      <c r="L18" s="10">
        <v>10.2</v>
      </c>
      <c r="M18" s="3">
        <v>51.0</v>
      </c>
      <c r="N18" s="3">
        <v>3.0</v>
      </c>
      <c r="O18" s="13">
        <f t="shared" si="1"/>
        <v>541.5</v>
      </c>
    </row>
    <row r="19">
      <c r="A19" s="5" t="s">
        <v>136</v>
      </c>
      <c r="B19" s="7">
        <v>46214.0</v>
      </c>
      <c r="C19" s="5" t="s">
        <v>35</v>
      </c>
      <c r="D19" s="5" t="s">
        <v>38</v>
      </c>
      <c r="E19" s="5" t="s">
        <v>65</v>
      </c>
      <c r="F19" s="5" t="s">
        <v>110</v>
      </c>
      <c r="G19" s="3">
        <v>1.0</v>
      </c>
      <c r="H19" s="8">
        <v>290.0</v>
      </c>
      <c r="I19" s="9">
        <v>0.0</v>
      </c>
      <c r="J19" s="8">
        <v>40.0</v>
      </c>
      <c r="K19" s="5" t="s">
        <v>76</v>
      </c>
      <c r="L19" s="10">
        <v>3.5</v>
      </c>
      <c r="M19" s="3">
        <v>33.0</v>
      </c>
      <c r="N19" s="3">
        <v>4.0</v>
      </c>
      <c r="O19" s="13">
        <f t="shared" si="1"/>
        <v>330</v>
      </c>
    </row>
    <row r="20">
      <c r="A20" s="5" t="s">
        <v>137</v>
      </c>
      <c r="B20" s="7">
        <v>46214.0</v>
      </c>
      <c r="C20" s="5" t="s">
        <v>121</v>
      </c>
      <c r="D20" s="5" t="s">
        <v>124</v>
      </c>
      <c r="E20" s="5" t="s">
        <v>41</v>
      </c>
      <c r="F20" s="5" t="s">
        <v>44</v>
      </c>
      <c r="G20" s="3">
        <v>2.0</v>
      </c>
      <c r="H20" s="8">
        <v>680.0</v>
      </c>
      <c r="I20" s="9">
        <v>0.1</v>
      </c>
      <c r="J20" s="8">
        <v>0.0</v>
      </c>
      <c r="K20" s="5" t="s">
        <v>76</v>
      </c>
      <c r="L20" s="10">
        <v>3.2</v>
      </c>
      <c r="M20" s="3">
        <v>32.0</v>
      </c>
      <c r="N20" s="3">
        <v>4.0</v>
      </c>
      <c r="O20" s="13">
        <f t="shared" si="1"/>
        <v>612</v>
      </c>
    </row>
    <row r="21" ht="15.75" customHeight="1">
      <c r="A21" s="5" t="s">
        <v>138</v>
      </c>
      <c r="B21" s="7">
        <v>46215.0</v>
      </c>
      <c r="C21" s="5" t="s">
        <v>121</v>
      </c>
      <c r="D21" s="5" t="s">
        <v>113</v>
      </c>
      <c r="E21" s="5" t="s">
        <v>65</v>
      </c>
      <c r="F21" s="5" t="s">
        <v>110</v>
      </c>
      <c r="G21" s="3">
        <v>3.0</v>
      </c>
      <c r="H21" s="8">
        <v>610.0</v>
      </c>
      <c r="I21" s="9">
        <v>0.05</v>
      </c>
      <c r="J21" s="8">
        <v>0.0</v>
      </c>
      <c r="K21" s="5" t="s">
        <v>87</v>
      </c>
      <c r="L21" s="10">
        <v>11.2</v>
      </c>
      <c r="M21" s="3">
        <v>53.0</v>
      </c>
      <c r="N21" s="3">
        <v>3.0</v>
      </c>
      <c r="O21" s="13">
        <f t="shared" si="1"/>
        <v>579.5</v>
      </c>
    </row>
    <row r="22" ht="15.75" customHeight="1">
      <c r="A22" s="5" t="s">
        <v>139</v>
      </c>
      <c r="B22" s="7">
        <v>46215.0</v>
      </c>
      <c r="C22" s="5" t="s">
        <v>35</v>
      </c>
      <c r="D22" s="5" t="s">
        <v>113</v>
      </c>
      <c r="E22" s="5" t="s">
        <v>41</v>
      </c>
      <c r="F22" s="5" t="s">
        <v>44</v>
      </c>
      <c r="G22" s="3">
        <v>2.0</v>
      </c>
      <c r="H22" s="8">
        <v>480.0</v>
      </c>
      <c r="I22" s="9">
        <v>0.15</v>
      </c>
      <c r="J22" s="8">
        <v>0.0</v>
      </c>
      <c r="K22" s="5" t="s">
        <v>76</v>
      </c>
      <c r="L22" s="10">
        <v>8.0</v>
      </c>
      <c r="M22" s="3">
        <v>48.0</v>
      </c>
      <c r="N22" s="3">
        <v>3.0</v>
      </c>
      <c r="O22" s="13">
        <f t="shared" si="1"/>
        <v>408</v>
      </c>
    </row>
    <row r="23" ht="15.75" customHeight="1">
      <c r="A23" s="5" t="s">
        <v>140</v>
      </c>
      <c r="B23" s="7">
        <v>46216.0</v>
      </c>
      <c r="C23" s="5" t="s">
        <v>61</v>
      </c>
      <c r="D23" s="5" t="s">
        <v>132</v>
      </c>
      <c r="E23" s="5" t="s">
        <v>65</v>
      </c>
      <c r="F23" s="5" t="s">
        <v>44</v>
      </c>
      <c r="G23" s="3">
        <v>1.0</v>
      </c>
      <c r="H23" s="8">
        <v>210.0</v>
      </c>
      <c r="I23" s="9">
        <v>0.05</v>
      </c>
      <c r="J23" s="8">
        <v>40.0</v>
      </c>
      <c r="K23" s="5" t="s">
        <v>76</v>
      </c>
      <c r="L23" s="10">
        <v>1.5</v>
      </c>
      <c r="M23" s="3">
        <v>23.0</v>
      </c>
      <c r="N23" s="3">
        <v>5.0</v>
      </c>
      <c r="O23" s="13">
        <f t="shared" si="1"/>
        <v>239.5</v>
      </c>
    </row>
    <row r="24" ht="15.75" customHeight="1">
      <c r="A24" s="5" t="s">
        <v>141</v>
      </c>
      <c r="B24" s="7">
        <v>46216.0</v>
      </c>
      <c r="C24" s="5" t="s">
        <v>142</v>
      </c>
      <c r="D24" s="5" t="s">
        <v>132</v>
      </c>
      <c r="E24" s="5" t="s">
        <v>65</v>
      </c>
      <c r="F24" s="5" t="s">
        <v>44</v>
      </c>
      <c r="G24" s="3">
        <v>1.0</v>
      </c>
      <c r="H24" s="8">
        <v>160.0</v>
      </c>
      <c r="I24" s="9">
        <v>0.05</v>
      </c>
      <c r="J24" s="8">
        <v>40.0</v>
      </c>
      <c r="K24" s="5" t="s">
        <v>76</v>
      </c>
      <c r="L24" s="10">
        <v>8.5</v>
      </c>
      <c r="M24" s="3">
        <v>47.0</v>
      </c>
      <c r="N24" s="3">
        <v>3.0</v>
      </c>
      <c r="O24" s="13">
        <f t="shared" si="1"/>
        <v>192</v>
      </c>
    </row>
    <row r="25" ht="15.75" customHeight="1">
      <c r="A25" s="5" t="s">
        <v>143</v>
      </c>
      <c r="B25" s="7">
        <v>46216.0</v>
      </c>
      <c r="C25" s="5" t="s">
        <v>35</v>
      </c>
      <c r="D25" s="5" t="s">
        <v>118</v>
      </c>
      <c r="E25" s="5" t="s">
        <v>65</v>
      </c>
      <c r="F25" s="5" t="s">
        <v>44</v>
      </c>
      <c r="G25" s="3">
        <v>1.0</v>
      </c>
      <c r="H25" s="8">
        <v>140.0</v>
      </c>
      <c r="I25" s="9">
        <v>0.0</v>
      </c>
      <c r="J25" s="8">
        <v>30.0</v>
      </c>
      <c r="K25" s="5" t="s">
        <v>87</v>
      </c>
      <c r="L25" s="10">
        <v>6.5</v>
      </c>
      <c r="M25" s="3">
        <v>35.0</v>
      </c>
      <c r="N25" s="3">
        <v>4.0</v>
      </c>
      <c r="O25" s="13">
        <f t="shared" si="1"/>
        <v>170</v>
      </c>
    </row>
    <row r="26" ht="15.75" customHeight="1">
      <c r="A26" s="5" t="s">
        <v>144</v>
      </c>
      <c r="B26" s="7">
        <v>46216.0</v>
      </c>
      <c r="C26" s="5" t="s">
        <v>61</v>
      </c>
      <c r="D26" s="5" t="s">
        <v>145</v>
      </c>
      <c r="E26" s="5" t="s">
        <v>65</v>
      </c>
      <c r="F26" s="5" t="s">
        <v>110</v>
      </c>
      <c r="G26" s="3">
        <v>1.0</v>
      </c>
      <c r="H26" s="8">
        <v>130.0</v>
      </c>
      <c r="I26" s="9">
        <v>0.0</v>
      </c>
      <c r="J26" s="8">
        <v>50.0</v>
      </c>
      <c r="K26" s="5" t="s">
        <v>76</v>
      </c>
      <c r="L26" s="10">
        <v>10.4</v>
      </c>
      <c r="M26" s="3">
        <v>53.0</v>
      </c>
      <c r="N26" s="3">
        <v>3.0</v>
      </c>
      <c r="O26" s="13">
        <f t="shared" si="1"/>
        <v>180</v>
      </c>
    </row>
    <row r="27" ht="15.75" customHeight="1">
      <c r="A27" s="5" t="s">
        <v>146</v>
      </c>
      <c r="B27" s="7">
        <v>46216.0</v>
      </c>
      <c r="C27" s="5" t="s">
        <v>61</v>
      </c>
      <c r="D27" s="5" t="s">
        <v>113</v>
      </c>
      <c r="E27" s="5" t="s">
        <v>65</v>
      </c>
      <c r="F27" s="5" t="s">
        <v>44</v>
      </c>
      <c r="G27" s="3">
        <v>2.0</v>
      </c>
      <c r="H27" s="8">
        <v>390.0</v>
      </c>
      <c r="I27" s="9">
        <v>0.0</v>
      </c>
      <c r="J27" s="8">
        <v>40.0</v>
      </c>
      <c r="K27" s="5" t="s">
        <v>76</v>
      </c>
      <c r="L27" s="10">
        <v>5.0</v>
      </c>
      <c r="M27" s="3">
        <v>35.0</v>
      </c>
      <c r="N27" s="3">
        <v>4.0</v>
      </c>
      <c r="O27" s="13">
        <f t="shared" si="1"/>
        <v>430</v>
      </c>
    </row>
    <row r="28" ht="15.75" customHeight="1">
      <c r="A28" s="5" t="s">
        <v>147</v>
      </c>
      <c r="B28" s="7">
        <v>46216.0</v>
      </c>
      <c r="C28" s="5" t="s">
        <v>142</v>
      </c>
      <c r="D28" s="5" t="s">
        <v>132</v>
      </c>
      <c r="E28" s="5" t="s">
        <v>41</v>
      </c>
      <c r="F28" s="5" t="s">
        <v>44</v>
      </c>
      <c r="G28" s="3">
        <v>6.0</v>
      </c>
      <c r="H28" s="8">
        <v>1380.0</v>
      </c>
      <c r="I28" s="9">
        <v>0.1</v>
      </c>
      <c r="J28" s="8">
        <v>0.0</v>
      </c>
      <c r="K28" s="5" t="s">
        <v>76</v>
      </c>
      <c r="L28" s="10">
        <v>8.2</v>
      </c>
      <c r="M28" s="3">
        <v>44.0</v>
      </c>
      <c r="N28" s="3">
        <v>4.0</v>
      </c>
      <c r="O28" s="13">
        <f t="shared" si="1"/>
        <v>1242</v>
      </c>
    </row>
    <row r="29" ht="15.75" customHeight="1">
      <c r="A29" s="5" t="s">
        <v>148</v>
      </c>
      <c r="B29" s="7">
        <v>46218.0</v>
      </c>
      <c r="C29" s="5" t="s">
        <v>117</v>
      </c>
      <c r="D29" s="5" t="s">
        <v>113</v>
      </c>
      <c r="E29" s="5" t="s">
        <v>41</v>
      </c>
      <c r="F29" s="5" t="s">
        <v>44</v>
      </c>
      <c r="G29" s="3">
        <v>5.0</v>
      </c>
      <c r="H29" s="8">
        <v>1330.0</v>
      </c>
      <c r="I29" s="9">
        <v>0.1</v>
      </c>
      <c r="J29" s="8">
        <v>0.0</v>
      </c>
      <c r="K29" s="5" t="s">
        <v>87</v>
      </c>
      <c r="L29" s="10">
        <v>10.1</v>
      </c>
      <c r="M29" s="3">
        <v>52.0</v>
      </c>
      <c r="N29" s="3">
        <v>4.0</v>
      </c>
      <c r="O29" s="13">
        <f t="shared" si="1"/>
        <v>1197</v>
      </c>
    </row>
    <row r="30" ht="15.75" customHeight="1">
      <c r="A30" s="5" t="s">
        <v>149</v>
      </c>
      <c r="B30" s="7">
        <v>46220.0</v>
      </c>
      <c r="C30" s="5" t="s">
        <v>61</v>
      </c>
      <c r="D30" s="5" t="s">
        <v>124</v>
      </c>
      <c r="E30" s="5" t="s">
        <v>114</v>
      </c>
      <c r="F30" s="5" t="s">
        <v>44</v>
      </c>
      <c r="G30" s="3">
        <v>2.0</v>
      </c>
      <c r="H30" s="8">
        <v>640.0</v>
      </c>
      <c r="I30" s="9">
        <v>0.0</v>
      </c>
      <c r="J30" s="8">
        <v>0.0</v>
      </c>
      <c r="K30" s="5" t="s">
        <v>76</v>
      </c>
      <c r="L30" s="10">
        <v>8.0</v>
      </c>
      <c r="M30" s="3">
        <v>33.0</v>
      </c>
      <c r="N30" s="3">
        <v>5.0</v>
      </c>
      <c r="O30" s="13">
        <f t="shared" si="1"/>
        <v>640</v>
      </c>
    </row>
    <row r="31" ht="15.75" customHeight="1">
      <c r="A31" s="5" t="s">
        <v>150</v>
      </c>
      <c r="B31" s="7">
        <v>46220.0</v>
      </c>
      <c r="C31" s="5" t="s">
        <v>35</v>
      </c>
      <c r="D31" s="5" t="s">
        <v>132</v>
      </c>
      <c r="E31" s="5" t="s">
        <v>65</v>
      </c>
      <c r="F31" s="5" t="s">
        <v>44</v>
      </c>
      <c r="G31" s="3">
        <v>2.0</v>
      </c>
      <c r="H31" s="8">
        <v>340.0</v>
      </c>
      <c r="I31" s="9">
        <v>0.05</v>
      </c>
      <c r="J31" s="8">
        <v>30.0</v>
      </c>
      <c r="K31" s="5" t="s">
        <v>76</v>
      </c>
      <c r="L31" s="10">
        <v>10.6</v>
      </c>
      <c r="M31" s="3">
        <v>50.0</v>
      </c>
      <c r="N31" s="3">
        <v>4.0</v>
      </c>
      <c r="O31" s="13">
        <f t="shared" si="1"/>
        <v>353</v>
      </c>
    </row>
    <row r="32" ht="15.75" customHeight="1">
      <c r="A32" s="5" t="s">
        <v>151</v>
      </c>
      <c r="B32" s="7">
        <v>46220.0</v>
      </c>
      <c r="C32" s="5" t="s">
        <v>117</v>
      </c>
      <c r="D32" s="5" t="s">
        <v>113</v>
      </c>
      <c r="E32" s="5" t="s">
        <v>41</v>
      </c>
      <c r="F32" s="5" t="s">
        <v>44</v>
      </c>
      <c r="G32" s="3">
        <v>4.0</v>
      </c>
      <c r="H32" s="8">
        <v>1130.0</v>
      </c>
      <c r="I32" s="9">
        <v>0.1</v>
      </c>
      <c r="J32" s="8">
        <v>0.0</v>
      </c>
      <c r="K32" s="5" t="s">
        <v>87</v>
      </c>
      <c r="L32" s="10">
        <v>1.0</v>
      </c>
      <c r="M32" s="3">
        <v>19.0</v>
      </c>
      <c r="N32" s="3">
        <v>5.0</v>
      </c>
      <c r="O32" s="13">
        <f t="shared" si="1"/>
        <v>1017</v>
      </c>
    </row>
    <row r="33" ht="15.75" customHeight="1">
      <c r="A33" s="5" t="s">
        <v>152</v>
      </c>
      <c r="B33" s="7">
        <v>46222.0</v>
      </c>
      <c r="C33" s="5" t="s">
        <v>35</v>
      </c>
      <c r="D33" s="5" t="s">
        <v>113</v>
      </c>
      <c r="E33" s="5" t="s">
        <v>65</v>
      </c>
      <c r="F33" s="5" t="s">
        <v>44</v>
      </c>
      <c r="G33" s="3">
        <v>4.0</v>
      </c>
      <c r="H33" s="8">
        <v>850.0</v>
      </c>
      <c r="I33" s="9">
        <v>0.05</v>
      </c>
      <c r="J33" s="8">
        <v>0.0</v>
      </c>
      <c r="K33" s="5" t="s">
        <v>76</v>
      </c>
      <c r="L33" s="10">
        <v>11.4</v>
      </c>
      <c r="M33" s="3">
        <v>56.0</v>
      </c>
      <c r="N33" s="3">
        <v>4.0</v>
      </c>
      <c r="O33" s="13">
        <f t="shared" si="1"/>
        <v>807.5</v>
      </c>
    </row>
    <row r="34" ht="15.75" customHeight="1">
      <c r="A34" s="5" t="s">
        <v>153</v>
      </c>
      <c r="B34" s="7">
        <v>46224.0</v>
      </c>
      <c r="C34" s="5" t="s">
        <v>35</v>
      </c>
      <c r="D34" s="5" t="s">
        <v>113</v>
      </c>
      <c r="E34" s="5" t="s">
        <v>41</v>
      </c>
      <c r="F34" s="5" t="s">
        <v>110</v>
      </c>
      <c r="G34" s="3">
        <v>1.0</v>
      </c>
      <c r="H34" s="8">
        <v>230.0</v>
      </c>
      <c r="I34" s="9">
        <v>0.1</v>
      </c>
      <c r="J34" s="8">
        <v>0.0</v>
      </c>
      <c r="K34" s="5" t="s">
        <v>76</v>
      </c>
      <c r="L34" s="10">
        <v>9.5</v>
      </c>
      <c r="M34" s="3">
        <v>53.0</v>
      </c>
      <c r="N34" s="3">
        <v>3.0</v>
      </c>
      <c r="O34" s="13">
        <f t="shared" si="1"/>
        <v>207</v>
      </c>
    </row>
    <row r="35" ht="15.75" customHeight="1">
      <c r="A35" s="5" t="s">
        <v>154</v>
      </c>
      <c r="B35" s="7">
        <v>46224.0</v>
      </c>
      <c r="C35" s="5" t="s">
        <v>35</v>
      </c>
      <c r="D35" s="5" t="s">
        <v>118</v>
      </c>
      <c r="E35" s="5" t="s">
        <v>114</v>
      </c>
      <c r="F35" s="5" t="s">
        <v>44</v>
      </c>
      <c r="G35" s="3">
        <v>1.0</v>
      </c>
      <c r="H35" s="8">
        <v>170.0</v>
      </c>
      <c r="I35" s="9">
        <v>0.2</v>
      </c>
      <c r="J35" s="8">
        <v>30.0</v>
      </c>
      <c r="K35" s="5" t="s">
        <v>76</v>
      </c>
      <c r="L35" s="10">
        <v>10.0</v>
      </c>
      <c r="M35" s="3">
        <v>51.0</v>
      </c>
      <c r="N35" s="3">
        <v>3.0</v>
      </c>
      <c r="O35" s="13">
        <f t="shared" si="1"/>
        <v>166</v>
      </c>
    </row>
    <row r="36" ht="15.75" customHeight="1">
      <c r="A36" s="5" t="s">
        <v>155</v>
      </c>
      <c r="B36" s="7">
        <v>46224.0</v>
      </c>
      <c r="C36" s="5" t="s">
        <v>121</v>
      </c>
      <c r="D36" s="5" t="s">
        <v>130</v>
      </c>
      <c r="E36" s="5" t="s">
        <v>65</v>
      </c>
      <c r="F36" s="5" t="s">
        <v>44</v>
      </c>
      <c r="G36" s="3">
        <v>4.0</v>
      </c>
      <c r="H36" s="8">
        <v>480.0</v>
      </c>
      <c r="I36" s="9">
        <v>0.0</v>
      </c>
      <c r="J36" s="8">
        <v>40.0</v>
      </c>
      <c r="K36" s="5" t="s">
        <v>76</v>
      </c>
      <c r="L36" s="10">
        <v>0.7</v>
      </c>
      <c r="M36" s="3">
        <v>24.0</v>
      </c>
      <c r="N36" s="3">
        <v>5.0</v>
      </c>
      <c r="O36" s="13">
        <f t="shared" si="1"/>
        <v>520</v>
      </c>
    </row>
    <row r="37" ht="15.75" customHeight="1">
      <c r="A37" s="5" t="s">
        <v>156</v>
      </c>
      <c r="B37" s="7">
        <v>46225.0</v>
      </c>
      <c r="C37" s="5" t="s">
        <v>61</v>
      </c>
      <c r="D37" s="5" t="s">
        <v>132</v>
      </c>
      <c r="E37" s="5" t="s">
        <v>65</v>
      </c>
      <c r="F37" s="5" t="s">
        <v>44</v>
      </c>
      <c r="G37" s="3">
        <v>5.0</v>
      </c>
      <c r="H37" s="8">
        <v>930.0</v>
      </c>
      <c r="I37" s="9">
        <v>0.1</v>
      </c>
      <c r="J37" s="8">
        <v>0.0</v>
      </c>
      <c r="K37" s="5" t="s">
        <v>76</v>
      </c>
      <c r="L37" s="10">
        <v>9.7</v>
      </c>
      <c r="M37" s="3">
        <v>50.0</v>
      </c>
      <c r="N37" s="3">
        <v>3.0</v>
      </c>
      <c r="O37" s="13">
        <f t="shared" si="1"/>
        <v>837</v>
      </c>
    </row>
    <row r="38" ht="15.75" customHeight="1">
      <c r="A38" s="5" t="s">
        <v>157</v>
      </c>
      <c r="B38" s="7">
        <v>46225.0</v>
      </c>
      <c r="C38" s="5" t="s">
        <v>35</v>
      </c>
      <c r="D38" s="5" t="s">
        <v>113</v>
      </c>
      <c r="E38" s="5" t="s">
        <v>41</v>
      </c>
      <c r="F38" s="5" t="s">
        <v>110</v>
      </c>
      <c r="G38" s="3">
        <v>3.0</v>
      </c>
      <c r="H38" s="8">
        <v>730.0</v>
      </c>
      <c r="I38" s="9">
        <v>0.15</v>
      </c>
      <c r="J38" s="8">
        <v>0.0</v>
      </c>
      <c r="K38" s="5" t="s">
        <v>111</v>
      </c>
      <c r="L38" s="10">
        <v>11.6</v>
      </c>
      <c r="M38" s="3">
        <v>57.0</v>
      </c>
      <c r="N38" s="3">
        <v>4.0</v>
      </c>
      <c r="O38" s="13">
        <f t="shared" si="1"/>
        <v>620.5</v>
      </c>
    </row>
    <row r="39" ht="15.75" customHeight="1">
      <c r="A39" s="5" t="s">
        <v>158</v>
      </c>
      <c r="B39" s="7">
        <v>46225.0</v>
      </c>
      <c r="C39" s="5" t="s">
        <v>117</v>
      </c>
      <c r="D39" s="5" t="s">
        <v>38</v>
      </c>
      <c r="E39" s="5" t="s">
        <v>41</v>
      </c>
      <c r="F39" s="5" t="s">
        <v>44</v>
      </c>
      <c r="G39" s="3">
        <v>1.0</v>
      </c>
      <c r="H39" s="8">
        <v>330.0</v>
      </c>
      <c r="I39" s="9">
        <v>0.1</v>
      </c>
      <c r="J39" s="8">
        <v>0.0</v>
      </c>
      <c r="K39" s="5" t="s">
        <v>111</v>
      </c>
      <c r="L39" s="10">
        <v>10.5</v>
      </c>
      <c r="M39" s="3">
        <v>50.0</v>
      </c>
      <c r="N39" s="3">
        <v>3.0</v>
      </c>
      <c r="O39" s="13">
        <f t="shared" si="1"/>
        <v>297</v>
      </c>
    </row>
    <row r="40" ht="15.75" customHeight="1">
      <c r="A40" s="5" t="s">
        <v>159</v>
      </c>
      <c r="B40" s="7">
        <v>46225.0</v>
      </c>
      <c r="C40" s="5" t="s">
        <v>61</v>
      </c>
      <c r="D40" s="5" t="s">
        <v>113</v>
      </c>
      <c r="E40" s="5" t="s">
        <v>114</v>
      </c>
      <c r="F40" s="5" t="s">
        <v>44</v>
      </c>
      <c r="G40" s="3">
        <v>2.0</v>
      </c>
      <c r="H40" s="8">
        <v>420.0</v>
      </c>
      <c r="I40" s="9">
        <v>0.0</v>
      </c>
      <c r="J40" s="8">
        <v>50.0</v>
      </c>
      <c r="K40" s="5" t="s">
        <v>76</v>
      </c>
      <c r="L40" s="10">
        <v>7.8</v>
      </c>
      <c r="M40" s="3">
        <v>43.0</v>
      </c>
      <c r="N40" s="3">
        <v>5.0</v>
      </c>
      <c r="O40" s="13">
        <f t="shared" si="1"/>
        <v>470</v>
      </c>
    </row>
    <row r="41" ht="15.75" customHeight="1">
      <c r="A41" s="5" t="s">
        <v>160</v>
      </c>
      <c r="B41" s="7">
        <v>46226.0</v>
      </c>
      <c r="C41" s="5" t="s">
        <v>61</v>
      </c>
      <c r="D41" s="5" t="s">
        <v>118</v>
      </c>
      <c r="E41" s="5" t="s">
        <v>114</v>
      </c>
      <c r="F41" s="5" t="s">
        <v>44</v>
      </c>
      <c r="G41" s="3">
        <v>1.0</v>
      </c>
      <c r="H41" s="8">
        <v>150.0</v>
      </c>
      <c r="I41" s="9">
        <v>0.2</v>
      </c>
      <c r="J41" s="8">
        <v>30.0</v>
      </c>
      <c r="K41" s="5" t="s">
        <v>76</v>
      </c>
      <c r="L41" s="10">
        <v>10.4</v>
      </c>
      <c r="M41" s="3">
        <v>45.0</v>
      </c>
      <c r="N41" s="3">
        <v>4.0</v>
      </c>
      <c r="O41" s="13">
        <f t="shared" si="1"/>
        <v>150</v>
      </c>
    </row>
    <row r="42" ht="15.75" customHeight="1">
      <c r="A42" s="5" t="s">
        <v>161</v>
      </c>
      <c r="B42" s="7">
        <v>46226.0</v>
      </c>
      <c r="C42" s="5" t="s">
        <v>35</v>
      </c>
      <c r="D42" s="5" t="s">
        <v>124</v>
      </c>
      <c r="E42" s="5" t="s">
        <v>65</v>
      </c>
      <c r="F42" s="5" t="s">
        <v>44</v>
      </c>
      <c r="G42" s="3">
        <v>1.0</v>
      </c>
      <c r="H42" s="8">
        <v>320.0</v>
      </c>
      <c r="I42" s="9">
        <v>0.05</v>
      </c>
      <c r="J42" s="8">
        <v>50.0</v>
      </c>
      <c r="K42" s="5" t="s">
        <v>87</v>
      </c>
      <c r="L42" s="10">
        <v>5.1</v>
      </c>
      <c r="M42" s="3">
        <v>35.0</v>
      </c>
      <c r="N42" s="3">
        <v>4.0</v>
      </c>
      <c r="O42" s="13">
        <f t="shared" si="1"/>
        <v>354</v>
      </c>
    </row>
    <row r="43" ht="15.75" customHeight="1">
      <c r="A43" s="5" t="s">
        <v>162</v>
      </c>
      <c r="B43" s="7">
        <v>46226.0</v>
      </c>
      <c r="C43" s="5" t="s">
        <v>35</v>
      </c>
      <c r="D43" s="5" t="s">
        <v>130</v>
      </c>
      <c r="E43" s="5" t="s">
        <v>65</v>
      </c>
      <c r="F43" s="5" t="s">
        <v>44</v>
      </c>
      <c r="G43" s="3">
        <v>2.0</v>
      </c>
      <c r="H43" s="8">
        <v>260.0</v>
      </c>
      <c r="I43" s="9">
        <v>0.0</v>
      </c>
      <c r="J43" s="8">
        <v>40.0</v>
      </c>
      <c r="K43" s="5" t="s">
        <v>87</v>
      </c>
      <c r="L43" s="10">
        <v>3.9</v>
      </c>
      <c r="M43" s="3">
        <v>32.0</v>
      </c>
      <c r="N43" s="3">
        <v>4.0</v>
      </c>
      <c r="O43" s="13">
        <f t="shared" si="1"/>
        <v>300</v>
      </c>
    </row>
    <row r="44" ht="15.75" customHeight="1">
      <c r="A44" s="5" t="s">
        <v>163</v>
      </c>
      <c r="B44" s="7">
        <v>46227.0</v>
      </c>
      <c r="C44" s="5" t="s">
        <v>121</v>
      </c>
      <c r="D44" s="5" t="s">
        <v>38</v>
      </c>
      <c r="E44" s="5" t="s">
        <v>65</v>
      </c>
      <c r="F44" s="5" t="s">
        <v>44</v>
      </c>
      <c r="G44" s="3">
        <v>1.0</v>
      </c>
      <c r="H44" s="8">
        <v>300.0</v>
      </c>
      <c r="I44" s="9">
        <v>0.0</v>
      </c>
      <c r="J44" s="8">
        <v>50.0</v>
      </c>
      <c r="K44" s="5" t="s">
        <v>76</v>
      </c>
      <c r="L44" s="10">
        <v>1.7</v>
      </c>
      <c r="M44" s="3">
        <v>27.0</v>
      </c>
      <c r="N44" s="3">
        <v>5.0</v>
      </c>
      <c r="O44" s="13">
        <f t="shared" si="1"/>
        <v>350</v>
      </c>
    </row>
    <row r="45" ht="15.75" customHeight="1">
      <c r="A45" s="5" t="s">
        <v>164</v>
      </c>
      <c r="B45" s="7">
        <v>46228.0</v>
      </c>
      <c r="C45" s="5" t="s">
        <v>121</v>
      </c>
      <c r="D45" s="5" t="s">
        <v>113</v>
      </c>
      <c r="E45" s="5" t="s">
        <v>65</v>
      </c>
      <c r="F45" s="5" t="s">
        <v>110</v>
      </c>
      <c r="G45" s="3">
        <v>1.0</v>
      </c>
      <c r="H45" s="8">
        <v>240.0</v>
      </c>
      <c r="I45" s="9">
        <v>0.05</v>
      </c>
      <c r="J45" s="8">
        <v>50.0</v>
      </c>
      <c r="K45" s="5" t="s">
        <v>87</v>
      </c>
      <c r="L45" s="10">
        <v>4.9</v>
      </c>
      <c r="M45" s="3">
        <v>33.0</v>
      </c>
      <c r="N45" s="3">
        <v>5.0</v>
      </c>
      <c r="O45" s="13">
        <f t="shared" si="1"/>
        <v>278</v>
      </c>
    </row>
    <row r="46" ht="15.75" customHeight="1">
      <c r="A46" s="5" t="s">
        <v>165</v>
      </c>
      <c r="B46" s="7">
        <v>46230.0</v>
      </c>
      <c r="C46" s="5" t="s">
        <v>61</v>
      </c>
      <c r="D46" s="5" t="s">
        <v>124</v>
      </c>
      <c r="E46" s="5" t="s">
        <v>65</v>
      </c>
      <c r="F46" s="5" t="s">
        <v>44</v>
      </c>
      <c r="G46" s="3">
        <v>3.0</v>
      </c>
      <c r="H46" s="8">
        <v>770.0</v>
      </c>
      <c r="I46" s="9">
        <v>0.0</v>
      </c>
      <c r="J46" s="8">
        <v>0.0</v>
      </c>
      <c r="K46" s="5" t="s">
        <v>127</v>
      </c>
      <c r="L46" s="10">
        <v>4.4</v>
      </c>
      <c r="M46" s="3">
        <v>29.0</v>
      </c>
      <c r="N46" s="3">
        <v>5.0</v>
      </c>
      <c r="O46" s="13">
        <f t="shared" si="1"/>
        <v>770</v>
      </c>
    </row>
    <row r="47" ht="15.75" customHeight="1">
      <c r="A47" s="5" t="s">
        <v>166</v>
      </c>
      <c r="B47" s="7">
        <v>46231.0</v>
      </c>
      <c r="C47" s="5" t="s">
        <v>121</v>
      </c>
      <c r="D47" s="5" t="s">
        <v>124</v>
      </c>
      <c r="E47" s="5" t="s">
        <v>65</v>
      </c>
      <c r="F47" s="5" t="s">
        <v>44</v>
      </c>
      <c r="G47" s="3">
        <v>5.0</v>
      </c>
      <c r="H47" s="8">
        <v>1630.0</v>
      </c>
      <c r="I47" s="9">
        <v>0.1</v>
      </c>
      <c r="J47" s="8">
        <v>0.0</v>
      </c>
      <c r="K47" s="5" t="s">
        <v>127</v>
      </c>
      <c r="L47" s="10">
        <v>5.0</v>
      </c>
      <c r="M47" s="3">
        <v>36.0</v>
      </c>
      <c r="N47" s="3">
        <v>4.0</v>
      </c>
      <c r="O47" s="13">
        <f t="shared" si="1"/>
        <v>1467</v>
      </c>
    </row>
    <row r="48" ht="15.75" customHeight="1">
      <c r="A48" s="5" t="s">
        <v>167</v>
      </c>
      <c r="B48" s="7">
        <v>46231.0</v>
      </c>
      <c r="C48" s="5" t="s">
        <v>35</v>
      </c>
      <c r="D48" s="5" t="s">
        <v>113</v>
      </c>
      <c r="E48" s="5" t="s">
        <v>65</v>
      </c>
      <c r="F48" s="5" t="s">
        <v>44</v>
      </c>
      <c r="G48" s="3">
        <v>5.0</v>
      </c>
      <c r="H48" s="8">
        <v>1130.0</v>
      </c>
      <c r="I48" s="9">
        <v>0.05</v>
      </c>
      <c r="J48" s="8">
        <v>0.0</v>
      </c>
      <c r="K48" s="5" t="s">
        <v>87</v>
      </c>
      <c r="L48" s="10">
        <v>5.1</v>
      </c>
      <c r="M48" s="3">
        <v>32.0</v>
      </c>
      <c r="N48" s="3">
        <v>5.0</v>
      </c>
      <c r="O48" s="13">
        <f t="shared" si="1"/>
        <v>1073.5</v>
      </c>
    </row>
    <row r="49" ht="15.75" customHeight="1">
      <c r="A49" s="5" t="s">
        <v>168</v>
      </c>
      <c r="B49" s="7">
        <v>46233.0</v>
      </c>
      <c r="C49" s="5" t="s">
        <v>121</v>
      </c>
      <c r="D49" s="5" t="s">
        <v>118</v>
      </c>
      <c r="E49" s="5" t="s">
        <v>65</v>
      </c>
      <c r="F49" s="5" t="s">
        <v>44</v>
      </c>
      <c r="G49" s="3">
        <v>1.0</v>
      </c>
      <c r="H49" s="8">
        <v>140.0</v>
      </c>
      <c r="I49" s="9">
        <v>0.05</v>
      </c>
      <c r="J49" s="8">
        <v>50.0</v>
      </c>
      <c r="K49" s="5" t="s">
        <v>127</v>
      </c>
      <c r="L49" s="10">
        <v>4.0</v>
      </c>
      <c r="M49" s="3">
        <v>34.0</v>
      </c>
      <c r="N49" s="3"/>
      <c r="O49" s="13">
        <f t="shared" si="1"/>
        <v>183</v>
      </c>
    </row>
    <row r="50" ht="15.75" customHeight="1">
      <c r="A50" s="5" t="s">
        <v>169</v>
      </c>
      <c r="B50" s="7">
        <v>46233.0</v>
      </c>
      <c r="C50" s="5" t="s">
        <v>61</v>
      </c>
      <c r="D50" s="5" t="s">
        <v>113</v>
      </c>
      <c r="E50" s="5" t="s">
        <v>114</v>
      </c>
      <c r="F50" s="5" t="s">
        <v>44</v>
      </c>
      <c r="G50" s="3">
        <v>1.0</v>
      </c>
      <c r="H50" s="8">
        <v>250.0</v>
      </c>
      <c r="I50" s="9">
        <v>0.2</v>
      </c>
      <c r="J50" s="8">
        <v>30.0</v>
      </c>
      <c r="K50" s="5" t="s">
        <v>76</v>
      </c>
      <c r="L50" s="10">
        <v>2.1</v>
      </c>
      <c r="M50" s="3">
        <v>21.0</v>
      </c>
      <c r="N50" s="3">
        <v>5.0</v>
      </c>
      <c r="O50" s="13">
        <f t="shared" si="1"/>
        <v>230</v>
      </c>
    </row>
    <row r="51" ht="15.75" customHeight="1">
      <c r="A51" s="5" t="s">
        <v>170</v>
      </c>
      <c r="B51" s="7">
        <v>46233.0</v>
      </c>
      <c r="C51" s="5" t="s">
        <v>142</v>
      </c>
      <c r="D51" s="5" t="s">
        <v>113</v>
      </c>
      <c r="E51" s="5" t="s">
        <v>65</v>
      </c>
      <c r="F51" s="5" t="s">
        <v>44</v>
      </c>
      <c r="G51" s="3">
        <v>3.0</v>
      </c>
      <c r="H51" s="8">
        <v>760.0</v>
      </c>
      <c r="I51" s="9">
        <v>0.0</v>
      </c>
      <c r="J51" s="8">
        <v>0.0</v>
      </c>
      <c r="K51" s="5" t="s">
        <v>76</v>
      </c>
      <c r="L51" s="10">
        <v>4.8</v>
      </c>
      <c r="M51" s="3">
        <v>31.0</v>
      </c>
      <c r="N51" s="3">
        <v>5.0</v>
      </c>
      <c r="O51" s="13">
        <f t="shared" si="1"/>
        <v>760</v>
      </c>
    </row>
    <row r="52" ht="15.75" customHeight="1">
      <c r="A52" s="5" t="s">
        <v>171</v>
      </c>
      <c r="B52" s="7">
        <v>46234.0</v>
      </c>
      <c r="C52" s="5" t="s">
        <v>61</v>
      </c>
      <c r="D52" s="5" t="s">
        <v>38</v>
      </c>
      <c r="E52" s="5" t="s">
        <v>65</v>
      </c>
      <c r="F52" s="5" t="s">
        <v>44</v>
      </c>
      <c r="G52" s="3">
        <v>6.0</v>
      </c>
      <c r="H52" s="8">
        <v>1460.0</v>
      </c>
      <c r="I52" s="9">
        <v>0.0</v>
      </c>
      <c r="J52" s="8">
        <v>0.0</v>
      </c>
      <c r="K52" s="5" t="s">
        <v>76</v>
      </c>
      <c r="L52" s="10">
        <v>1.3</v>
      </c>
      <c r="M52" s="3">
        <v>22.0</v>
      </c>
      <c r="N52" s="3">
        <v>5.0</v>
      </c>
      <c r="O52" s="13">
        <f t="shared" si="1"/>
        <v>1460</v>
      </c>
    </row>
    <row r="53" ht="15.75" customHeight="1">
      <c r="A53" s="5" t="s">
        <v>172</v>
      </c>
      <c r="B53" s="7">
        <v>46236.0</v>
      </c>
      <c r="C53" s="5" t="s">
        <v>142</v>
      </c>
      <c r="D53" s="5" t="s">
        <v>132</v>
      </c>
      <c r="E53" s="5" t="s">
        <v>41</v>
      </c>
      <c r="F53" s="5" t="s">
        <v>44</v>
      </c>
      <c r="G53" s="3">
        <v>3.0</v>
      </c>
      <c r="H53" s="8">
        <v>610.0</v>
      </c>
      <c r="I53" s="9">
        <v>0.2</v>
      </c>
      <c r="J53" s="8">
        <v>0.0</v>
      </c>
      <c r="K53" s="5" t="s">
        <v>76</v>
      </c>
      <c r="L53" s="10">
        <v>2.8</v>
      </c>
      <c r="M53" s="3">
        <v>23.0</v>
      </c>
      <c r="N53" s="3">
        <v>5.0</v>
      </c>
      <c r="O53" s="13">
        <f t="shared" si="1"/>
        <v>488</v>
      </c>
    </row>
    <row r="54" ht="15.75" customHeight="1">
      <c r="A54" s="5" t="s">
        <v>173</v>
      </c>
      <c r="B54" s="7">
        <v>46236.0</v>
      </c>
      <c r="C54" s="5" t="s">
        <v>35</v>
      </c>
      <c r="D54" s="5" t="s">
        <v>145</v>
      </c>
      <c r="E54" s="5" t="s">
        <v>65</v>
      </c>
      <c r="F54" s="5" t="s">
        <v>44</v>
      </c>
      <c r="G54" s="3">
        <v>1.0</v>
      </c>
      <c r="H54" s="8">
        <v>140.0</v>
      </c>
      <c r="I54" s="9">
        <v>0.0</v>
      </c>
      <c r="J54" s="8">
        <v>40.0</v>
      </c>
      <c r="K54" s="5" t="s">
        <v>111</v>
      </c>
      <c r="L54" s="10">
        <v>2.4</v>
      </c>
      <c r="M54" s="3">
        <v>27.0</v>
      </c>
      <c r="N54" s="3">
        <v>4.0</v>
      </c>
      <c r="O54" s="13">
        <f t="shared" si="1"/>
        <v>180</v>
      </c>
    </row>
    <row r="55" ht="15.75" customHeight="1">
      <c r="A55" s="5" t="s">
        <v>174</v>
      </c>
      <c r="B55" s="7">
        <v>46238.0</v>
      </c>
      <c r="C55" s="5" t="s">
        <v>117</v>
      </c>
      <c r="D55" s="5" t="s">
        <v>38</v>
      </c>
      <c r="E55" s="5" t="s">
        <v>114</v>
      </c>
      <c r="F55" s="5" t="s">
        <v>44</v>
      </c>
      <c r="G55" s="3">
        <v>6.0</v>
      </c>
      <c r="H55" s="8">
        <v>1480.0</v>
      </c>
      <c r="I55" s="9">
        <v>0.0</v>
      </c>
      <c r="J55" s="8">
        <v>0.0</v>
      </c>
      <c r="K55" s="5" t="s">
        <v>76</v>
      </c>
      <c r="L55" s="10">
        <v>7.7</v>
      </c>
      <c r="M55" s="3">
        <v>41.0</v>
      </c>
      <c r="N55" s="3">
        <v>4.0</v>
      </c>
      <c r="O55" s="13">
        <f t="shared" si="1"/>
        <v>1480</v>
      </c>
    </row>
    <row r="56" ht="15.75" customHeight="1">
      <c r="A56" s="5" t="s">
        <v>175</v>
      </c>
      <c r="B56" s="7">
        <v>46239.0</v>
      </c>
      <c r="C56" s="5" t="s">
        <v>35</v>
      </c>
      <c r="D56" s="5" t="s">
        <v>113</v>
      </c>
      <c r="E56" s="5" t="s">
        <v>41</v>
      </c>
      <c r="F56" s="5" t="s">
        <v>44</v>
      </c>
      <c r="G56" s="3">
        <v>3.0</v>
      </c>
      <c r="H56" s="8">
        <v>850.0</v>
      </c>
      <c r="I56" s="9">
        <v>0.1</v>
      </c>
      <c r="J56" s="8">
        <v>0.0</v>
      </c>
      <c r="K56" s="5" t="s">
        <v>76</v>
      </c>
      <c r="L56" s="10">
        <v>5.5</v>
      </c>
      <c r="M56" s="3">
        <v>37.0</v>
      </c>
      <c r="N56" s="3">
        <v>4.0</v>
      </c>
      <c r="O56" s="13">
        <f t="shared" si="1"/>
        <v>765</v>
      </c>
    </row>
    <row r="57" ht="15.75" customHeight="1">
      <c r="A57" s="5" t="s">
        <v>176</v>
      </c>
      <c r="B57" s="7">
        <v>46240.0</v>
      </c>
      <c r="C57" s="5" t="s">
        <v>61</v>
      </c>
      <c r="D57" s="5" t="s">
        <v>113</v>
      </c>
      <c r="E57" s="5" t="s">
        <v>114</v>
      </c>
      <c r="F57" s="5" t="s">
        <v>110</v>
      </c>
      <c r="G57" s="3">
        <v>2.0</v>
      </c>
      <c r="H57" s="8">
        <v>450.0</v>
      </c>
      <c r="I57" s="9">
        <v>0.1</v>
      </c>
      <c r="J57" s="8">
        <v>50.0</v>
      </c>
      <c r="K57" s="5" t="s">
        <v>87</v>
      </c>
      <c r="L57" s="10">
        <v>2.2</v>
      </c>
      <c r="M57" s="3">
        <v>21.0</v>
      </c>
      <c r="N57" s="3">
        <v>5.0</v>
      </c>
      <c r="O57" s="13">
        <f t="shared" si="1"/>
        <v>455</v>
      </c>
    </row>
    <row r="58" ht="15.75" customHeight="1">
      <c r="A58" s="5" t="s">
        <v>177</v>
      </c>
      <c r="B58" s="7">
        <v>46240.0</v>
      </c>
      <c r="C58" s="5" t="s">
        <v>117</v>
      </c>
      <c r="D58" s="5" t="s">
        <v>113</v>
      </c>
      <c r="E58" s="5" t="s">
        <v>65</v>
      </c>
      <c r="F58" s="5" t="s">
        <v>44</v>
      </c>
      <c r="G58" s="3">
        <v>2.0</v>
      </c>
      <c r="H58" s="8">
        <v>380.0</v>
      </c>
      <c r="I58" s="9">
        <v>0.0</v>
      </c>
      <c r="J58" s="8">
        <v>30.0</v>
      </c>
      <c r="K58" s="5" t="s">
        <v>87</v>
      </c>
      <c r="L58" s="10">
        <v>8.1</v>
      </c>
      <c r="M58" s="3">
        <v>42.0</v>
      </c>
      <c r="N58" s="3">
        <v>4.0</v>
      </c>
      <c r="O58" s="13">
        <f t="shared" si="1"/>
        <v>410</v>
      </c>
    </row>
    <row r="59" ht="15.75" customHeight="1">
      <c r="A59" s="5" t="s">
        <v>178</v>
      </c>
      <c r="B59" s="7">
        <v>46241.0</v>
      </c>
      <c r="C59" s="5" t="s">
        <v>61</v>
      </c>
      <c r="D59" s="5" t="s">
        <v>113</v>
      </c>
      <c r="E59" s="5" t="s">
        <v>41</v>
      </c>
      <c r="F59" s="5" t="s">
        <v>110</v>
      </c>
      <c r="G59" s="3">
        <v>3.0</v>
      </c>
      <c r="H59" s="8">
        <v>830.0</v>
      </c>
      <c r="I59" s="9">
        <v>0.2</v>
      </c>
      <c r="J59" s="8">
        <v>0.0</v>
      </c>
      <c r="K59" s="5" t="s">
        <v>87</v>
      </c>
      <c r="L59" s="10">
        <v>6.0</v>
      </c>
      <c r="M59" s="3">
        <v>39.0</v>
      </c>
      <c r="N59" s="3">
        <v>5.0</v>
      </c>
      <c r="O59" s="13">
        <f t="shared" si="1"/>
        <v>664</v>
      </c>
    </row>
    <row r="60" ht="15.75" customHeight="1">
      <c r="A60" s="5" t="s">
        <v>179</v>
      </c>
      <c r="B60" s="7">
        <v>46241.0</v>
      </c>
      <c r="C60" s="5" t="s">
        <v>121</v>
      </c>
      <c r="D60" s="5" t="s">
        <v>118</v>
      </c>
      <c r="E60" s="5" t="s">
        <v>65</v>
      </c>
      <c r="F60" s="5" t="s">
        <v>110</v>
      </c>
      <c r="G60" s="3">
        <v>3.0</v>
      </c>
      <c r="H60" s="8">
        <v>450.0</v>
      </c>
      <c r="I60" s="9">
        <v>0.0</v>
      </c>
      <c r="J60" s="8">
        <v>30.0</v>
      </c>
      <c r="K60" s="5" t="s">
        <v>76</v>
      </c>
      <c r="L60" s="10">
        <v>6.9</v>
      </c>
      <c r="M60" s="3">
        <v>35.0</v>
      </c>
      <c r="N60" s="3">
        <v>4.0</v>
      </c>
      <c r="O60" s="13">
        <f t="shared" si="1"/>
        <v>480</v>
      </c>
    </row>
    <row r="61" ht="15.75" customHeight="1">
      <c r="A61" s="5" t="s">
        <v>180</v>
      </c>
      <c r="B61" s="7">
        <v>46242.0</v>
      </c>
      <c r="C61" s="5" t="s">
        <v>35</v>
      </c>
      <c r="D61" s="5" t="s">
        <v>132</v>
      </c>
      <c r="E61" s="5" t="s">
        <v>41</v>
      </c>
      <c r="F61" s="5" t="s">
        <v>44</v>
      </c>
      <c r="G61" s="3">
        <v>3.0</v>
      </c>
      <c r="H61" s="8">
        <v>610.0</v>
      </c>
      <c r="I61" s="9">
        <v>0.1</v>
      </c>
      <c r="J61" s="8">
        <v>0.0</v>
      </c>
      <c r="K61" s="5" t="s">
        <v>76</v>
      </c>
      <c r="L61" s="10">
        <v>1.5</v>
      </c>
      <c r="M61" s="3">
        <v>23.0</v>
      </c>
      <c r="N61" s="3">
        <v>5.0</v>
      </c>
      <c r="O61" s="13">
        <f t="shared" si="1"/>
        <v>549</v>
      </c>
    </row>
    <row r="62" ht="15.75" customHeight="1">
      <c r="A62" s="5" t="s">
        <v>181</v>
      </c>
      <c r="B62" s="7">
        <v>46242.0</v>
      </c>
      <c r="C62" s="5" t="s">
        <v>35</v>
      </c>
      <c r="D62" s="5" t="s">
        <v>132</v>
      </c>
      <c r="E62" s="5" t="s">
        <v>114</v>
      </c>
      <c r="F62" s="5" t="s">
        <v>44</v>
      </c>
      <c r="G62" s="3">
        <v>4.0</v>
      </c>
      <c r="H62" s="8">
        <v>680.0</v>
      </c>
      <c r="I62" s="9">
        <v>0.0</v>
      </c>
      <c r="J62" s="8">
        <v>0.0</v>
      </c>
      <c r="K62" s="5" t="s">
        <v>111</v>
      </c>
      <c r="L62" s="10">
        <v>3.3</v>
      </c>
      <c r="M62" s="3">
        <v>30.0</v>
      </c>
      <c r="N62" s="3">
        <v>5.0</v>
      </c>
      <c r="O62" s="13">
        <f t="shared" si="1"/>
        <v>680</v>
      </c>
    </row>
    <row r="63" ht="15.75" customHeight="1">
      <c r="A63" s="5" t="s">
        <v>182</v>
      </c>
      <c r="B63" s="7">
        <v>46243.0</v>
      </c>
      <c r="C63" s="5" t="s">
        <v>142</v>
      </c>
      <c r="D63" s="5" t="s">
        <v>145</v>
      </c>
      <c r="E63" s="5" t="s">
        <v>114</v>
      </c>
      <c r="F63" s="5" t="s">
        <v>44</v>
      </c>
      <c r="G63" s="3">
        <v>2.0</v>
      </c>
      <c r="H63" s="8">
        <v>240.0</v>
      </c>
      <c r="I63" s="9">
        <v>0.1</v>
      </c>
      <c r="J63" s="8">
        <v>30.0</v>
      </c>
      <c r="K63" s="5" t="s">
        <v>76</v>
      </c>
      <c r="L63" s="10">
        <v>2.4</v>
      </c>
      <c r="M63" s="3">
        <v>26.0</v>
      </c>
      <c r="N63" s="3">
        <v>5.0</v>
      </c>
      <c r="O63" s="13">
        <f t="shared" si="1"/>
        <v>246</v>
      </c>
    </row>
    <row r="64" ht="15.75" customHeight="1">
      <c r="A64" s="5" t="s">
        <v>183</v>
      </c>
      <c r="B64" s="7">
        <v>46244.0</v>
      </c>
      <c r="C64" s="5" t="s">
        <v>121</v>
      </c>
      <c r="D64" s="5" t="s">
        <v>118</v>
      </c>
      <c r="E64" s="5" t="s">
        <v>65</v>
      </c>
      <c r="F64" s="5" t="s">
        <v>44</v>
      </c>
      <c r="G64" s="3">
        <v>4.0</v>
      </c>
      <c r="H64" s="8">
        <v>560.0</v>
      </c>
      <c r="I64" s="9">
        <v>0.1</v>
      </c>
      <c r="J64" s="8">
        <v>0.0</v>
      </c>
      <c r="K64" s="5" t="s">
        <v>76</v>
      </c>
      <c r="L64" s="10">
        <v>5.8</v>
      </c>
      <c r="M64" s="3">
        <v>33.0</v>
      </c>
      <c r="N64" s="3">
        <v>4.0</v>
      </c>
      <c r="O64" s="13">
        <f t="shared" si="1"/>
        <v>504</v>
      </c>
    </row>
    <row r="65" ht="15.75" customHeight="1">
      <c r="A65" s="5" t="s">
        <v>184</v>
      </c>
      <c r="B65" s="7">
        <v>46244.0</v>
      </c>
      <c r="C65" s="5" t="s">
        <v>121</v>
      </c>
      <c r="D65" s="5" t="s">
        <v>124</v>
      </c>
      <c r="E65" s="5" t="s">
        <v>114</v>
      </c>
      <c r="F65" s="5" t="s">
        <v>44</v>
      </c>
      <c r="G65" s="3">
        <v>2.0</v>
      </c>
      <c r="H65" s="8">
        <v>510.0</v>
      </c>
      <c r="I65" s="9">
        <v>0.1</v>
      </c>
      <c r="J65" s="8">
        <v>0.0</v>
      </c>
      <c r="K65" s="5" t="s">
        <v>111</v>
      </c>
      <c r="L65" s="10">
        <v>11.7</v>
      </c>
      <c r="M65" s="3">
        <v>57.0</v>
      </c>
      <c r="N65" s="3">
        <v>3.0</v>
      </c>
      <c r="O65" s="13">
        <f t="shared" si="1"/>
        <v>459</v>
      </c>
    </row>
    <row r="66" ht="15.75" customHeight="1">
      <c r="A66" s="5" t="s">
        <v>185</v>
      </c>
      <c r="B66" s="7">
        <v>46244.0</v>
      </c>
      <c r="C66" s="5" t="s">
        <v>61</v>
      </c>
      <c r="D66" s="5" t="s">
        <v>113</v>
      </c>
      <c r="E66" s="5" t="s">
        <v>114</v>
      </c>
      <c r="F66" s="5" t="s">
        <v>44</v>
      </c>
      <c r="G66" s="3">
        <v>3.0</v>
      </c>
      <c r="H66" s="8">
        <v>740.0</v>
      </c>
      <c r="I66" s="9">
        <v>0.1</v>
      </c>
      <c r="J66" s="8">
        <v>0.0</v>
      </c>
      <c r="K66" s="5" t="s">
        <v>87</v>
      </c>
      <c r="L66" s="10">
        <v>1.0</v>
      </c>
      <c r="M66" s="3">
        <v>24.0</v>
      </c>
      <c r="N66" s="3">
        <v>5.0</v>
      </c>
      <c r="O66" s="13">
        <f t="shared" si="1"/>
        <v>666</v>
      </c>
    </row>
    <row r="67" ht="15.75" customHeight="1">
      <c r="A67" s="5" t="s">
        <v>186</v>
      </c>
      <c r="B67" s="7">
        <v>46245.0</v>
      </c>
      <c r="C67" s="5" t="s">
        <v>61</v>
      </c>
      <c r="D67" s="5" t="s">
        <v>38</v>
      </c>
      <c r="E67" s="5" t="s">
        <v>41</v>
      </c>
      <c r="F67" s="5" t="s">
        <v>44</v>
      </c>
      <c r="G67" s="3">
        <v>1.0</v>
      </c>
      <c r="H67" s="8">
        <v>300.0</v>
      </c>
      <c r="I67" s="9">
        <v>0.2</v>
      </c>
      <c r="J67" s="8">
        <v>0.0</v>
      </c>
      <c r="K67" s="5" t="s">
        <v>76</v>
      </c>
      <c r="L67" s="10">
        <v>2.7</v>
      </c>
      <c r="M67" s="3">
        <v>22.0</v>
      </c>
      <c r="N67" s="3">
        <v>5.0</v>
      </c>
      <c r="O67" s="13">
        <f t="shared" si="1"/>
        <v>240</v>
      </c>
    </row>
    <row r="68" ht="15.75" customHeight="1">
      <c r="A68" s="5" t="s">
        <v>187</v>
      </c>
      <c r="B68" s="7">
        <v>46246.0</v>
      </c>
      <c r="C68" s="5" t="s">
        <v>121</v>
      </c>
      <c r="D68" s="5" t="s">
        <v>124</v>
      </c>
      <c r="E68" s="5" t="s">
        <v>65</v>
      </c>
      <c r="F68" s="5" t="s">
        <v>110</v>
      </c>
      <c r="G68" s="3">
        <v>5.0</v>
      </c>
      <c r="H68" s="8">
        <v>1490.0</v>
      </c>
      <c r="I68" s="9">
        <v>0.1</v>
      </c>
      <c r="J68" s="8">
        <v>0.0</v>
      </c>
      <c r="K68" s="5" t="s">
        <v>76</v>
      </c>
      <c r="L68" s="10">
        <v>8.9</v>
      </c>
      <c r="M68" s="3">
        <v>49.0</v>
      </c>
      <c r="N68" s="3">
        <v>4.0</v>
      </c>
      <c r="O68" s="13">
        <f t="shared" si="1"/>
        <v>1341</v>
      </c>
    </row>
    <row r="69" ht="15.75" customHeight="1">
      <c r="A69" s="5" t="s">
        <v>188</v>
      </c>
      <c r="B69" s="7">
        <v>46246.0</v>
      </c>
      <c r="C69" s="5" t="s">
        <v>142</v>
      </c>
      <c r="D69" s="5" t="s">
        <v>124</v>
      </c>
      <c r="E69" s="5" t="s">
        <v>65</v>
      </c>
      <c r="F69" s="5" t="s">
        <v>44</v>
      </c>
      <c r="G69" s="3">
        <v>1.0</v>
      </c>
      <c r="H69" s="8">
        <v>290.0</v>
      </c>
      <c r="I69" s="9">
        <v>0.1</v>
      </c>
      <c r="J69" s="8">
        <v>30.0</v>
      </c>
      <c r="K69" s="5" t="s">
        <v>76</v>
      </c>
      <c r="L69" s="10">
        <v>6.8</v>
      </c>
      <c r="M69" s="3">
        <v>40.0</v>
      </c>
      <c r="N69" s="3">
        <v>5.0</v>
      </c>
      <c r="O69" s="13">
        <f t="shared" si="1"/>
        <v>291</v>
      </c>
    </row>
    <row r="70" ht="15.75" customHeight="1">
      <c r="A70" s="5" t="s">
        <v>189</v>
      </c>
      <c r="B70" s="7">
        <v>46246.0</v>
      </c>
      <c r="C70" s="5" t="s">
        <v>121</v>
      </c>
      <c r="D70" s="5" t="s">
        <v>113</v>
      </c>
      <c r="E70" s="5" t="s">
        <v>114</v>
      </c>
      <c r="F70" s="5" t="s">
        <v>110</v>
      </c>
      <c r="G70" s="3">
        <v>3.0</v>
      </c>
      <c r="H70" s="8">
        <v>610.0</v>
      </c>
      <c r="I70" s="9">
        <v>0.0</v>
      </c>
      <c r="J70" s="8">
        <v>0.0</v>
      </c>
      <c r="K70" s="5" t="s">
        <v>87</v>
      </c>
      <c r="L70" s="10">
        <v>10.3</v>
      </c>
      <c r="M70" s="3">
        <v>57.0</v>
      </c>
      <c r="N70" s="3">
        <v>3.0</v>
      </c>
      <c r="O70" s="13">
        <f t="shared" si="1"/>
        <v>610</v>
      </c>
    </row>
    <row r="71" ht="15.75" customHeight="1">
      <c r="A71" s="5" t="s">
        <v>190</v>
      </c>
      <c r="B71" s="7">
        <v>46246.0</v>
      </c>
      <c r="C71" s="5" t="s">
        <v>117</v>
      </c>
      <c r="D71" s="5" t="s">
        <v>38</v>
      </c>
      <c r="E71" s="5" t="s">
        <v>41</v>
      </c>
      <c r="F71" s="5" t="s">
        <v>44</v>
      </c>
      <c r="G71" s="3">
        <v>3.0</v>
      </c>
      <c r="H71" s="8">
        <v>990.0</v>
      </c>
      <c r="I71" s="9">
        <v>0.2</v>
      </c>
      <c r="J71" s="8">
        <v>0.0</v>
      </c>
      <c r="K71" s="5" t="s">
        <v>87</v>
      </c>
      <c r="L71" s="10">
        <v>6.3</v>
      </c>
      <c r="M71" s="3">
        <v>34.0</v>
      </c>
      <c r="N71" s="3">
        <v>4.0</v>
      </c>
      <c r="O71" s="13">
        <f t="shared" si="1"/>
        <v>792</v>
      </c>
    </row>
    <row r="72" ht="15.75" customHeight="1">
      <c r="A72" s="5" t="s">
        <v>191</v>
      </c>
      <c r="B72" s="7">
        <v>46248.0</v>
      </c>
      <c r="C72" s="5" t="s">
        <v>142</v>
      </c>
      <c r="D72" s="5" t="s">
        <v>38</v>
      </c>
      <c r="E72" s="5" t="s">
        <v>65</v>
      </c>
      <c r="F72" s="5" t="s">
        <v>44</v>
      </c>
      <c r="G72" s="3">
        <v>2.0</v>
      </c>
      <c r="H72" s="8">
        <v>460.0</v>
      </c>
      <c r="I72" s="9">
        <v>0.0</v>
      </c>
      <c r="J72" s="8">
        <v>50.0</v>
      </c>
      <c r="K72" s="5" t="s">
        <v>76</v>
      </c>
      <c r="L72" s="10">
        <v>4.4</v>
      </c>
      <c r="M72" s="3">
        <v>30.0</v>
      </c>
      <c r="N72" s="3">
        <v>4.0</v>
      </c>
      <c r="O72" s="13">
        <f t="shared" si="1"/>
        <v>510</v>
      </c>
    </row>
    <row r="73" ht="15.75" customHeight="1">
      <c r="A73" s="5" t="s">
        <v>192</v>
      </c>
      <c r="B73" s="7">
        <v>46248.0</v>
      </c>
      <c r="C73" s="5" t="s">
        <v>61</v>
      </c>
      <c r="D73" s="5" t="s">
        <v>113</v>
      </c>
      <c r="E73" s="5" t="s">
        <v>41</v>
      </c>
      <c r="F73" s="5" t="s">
        <v>110</v>
      </c>
      <c r="G73" s="3">
        <v>1.0</v>
      </c>
      <c r="H73" s="8">
        <v>250.0</v>
      </c>
      <c r="I73" s="9">
        <v>0.15</v>
      </c>
      <c r="J73" s="8">
        <v>0.0</v>
      </c>
      <c r="K73" s="5" t="s">
        <v>87</v>
      </c>
      <c r="L73" s="10">
        <v>10.0</v>
      </c>
      <c r="M73" s="3">
        <v>52.0</v>
      </c>
      <c r="N73" s="3">
        <v>3.0</v>
      </c>
      <c r="O73" s="13">
        <f t="shared" si="1"/>
        <v>212.5</v>
      </c>
    </row>
    <row r="74" ht="15.75" customHeight="1">
      <c r="A74" s="5" t="s">
        <v>193</v>
      </c>
      <c r="B74" s="7">
        <v>46249.0</v>
      </c>
      <c r="C74" s="5" t="s">
        <v>121</v>
      </c>
      <c r="D74" s="5" t="s">
        <v>38</v>
      </c>
      <c r="E74" s="5" t="s">
        <v>65</v>
      </c>
      <c r="F74" s="5" t="s">
        <v>44</v>
      </c>
      <c r="G74" s="3">
        <v>6.0</v>
      </c>
      <c r="H74" s="8">
        <v>1380.0</v>
      </c>
      <c r="I74" s="9">
        <v>0.0</v>
      </c>
      <c r="J74" s="8">
        <v>0.0</v>
      </c>
      <c r="K74" s="5" t="s">
        <v>111</v>
      </c>
      <c r="L74" s="10">
        <v>1.7</v>
      </c>
      <c r="M74" s="3">
        <v>27.0</v>
      </c>
      <c r="N74" s="3">
        <v>5.0</v>
      </c>
      <c r="O74" s="13">
        <f t="shared" si="1"/>
        <v>1380</v>
      </c>
    </row>
    <row r="75" ht="15.75" customHeight="1">
      <c r="A75" s="5" t="s">
        <v>194</v>
      </c>
      <c r="B75" s="7">
        <v>46249.0</v>
      </c>
      <c r="C75" s="5" t="s">
        <v>121</v>
      </c>
      <c r="D75" s="5" t="s">
        <v>124</v>
      </c>
      <c r="E75" s="5" t="s">
        <v>65</v>
      </c>
      <c r="F75" s="5" t="s">
        <v>44</v>
      </c>
      <c r="G75" s="3">
        <v>3.0</v>
      </c>
      <c r="H75" s="8">
        <v>880.0</v>
      </c>
      <c r="I75" s="9">
        <v>0.1</v>
      </c>
      <c r="J75" s="8">
        <v>0.0</v>
      </c>
      <c r="K75" s="5" t="s">
        <v>76</v>
      </c>
      <c r="L75" s="10">
        <v>6.3</v>
      </c>
      <c r="M75" s="3">
        <v>42.0</v>
      </c>
      <c r="N75" s="3">
        <v>4.0</v>
      </c>
      <c r="O75" s="13">
        <f t="shared" si="1"/>
        <v>792</v>
      </c>
    </row>
    <row r="76" ht="15.75" customHeight="1">
      <c r="A76" s="5" t="s">
        <v>195</v>
      </c>
      <c r="B76" s="7">
        <v>46249.0</v>
      </c>
      <c r="C76" s="5" t="s">
        <v>117</v>
      </c>
      <c r="D76" s="5" t="s">
        <v>113</v>
      </c>
      <c r="E76" s="5" t="s">
        <v>65</v>
      </c>
      <c r="F76" s="5" t="s">
        <v>44</v>
      </c>
      <c r="G76" s="3">
        <v>4.0</v>
      </c>
      <c r="H76" s="8">
        <v>990.0</v>
      </c>
      <c r="I76" s="9">
        <v>0.1</v>
      </c>
      <c r="J76" s="8">
        <v>0.0</v>
      </c>
      <c r="K76" s="5" t="s">
        <v>111</v>
      </c>
      <c r="L76" s="10">
        <v>7.1</v>
      </c>
      <c r="M76" s="3">
        <v>40.0</v>
      </c>
      <c r="N76" s="3">
        <v>4.0</v>
      </c>
      <c r="O76" s="13">
        <f t="shared" si="1"/>
        <v>891</v>
      </c>
    </row>
    <row r="77" ht="15.75" customHeight="1">
      <c r="A77" s="5" t="s">
        <v>196</v>
      </c>
      <c r="B77" s="7">
        <v>46249.0</v>
      </c>
      <c r="C77" s="5" t="s">
        <v>121</v>
      </c>
      <c r="D77" s="5" t="s">
        <v>38</v>
      </c>
      <c r="E77" s="5" t="s">
        <v>114</v>
      </c>
      <c r="F77" s="5" t="s">
        <v>44</v>
      </c>
      <c r="G77" s="3">
        <v>2.0</v>
      </c>
      <c r="H77" s="8">
        <v>460.0</v>
      </c>
      <c r="I77" s="9">
        <v>0.2</v>
      </c>
      <c r="J77" s="8">
        <v>30.0</v>
      </c>
      <c r="K77" s="5" t="s">
        <v>111</v>
      </c>
      <c r="L77" s="10">
        <v>2.2</v>
      </c>
      <c r="M77" s="3">
        <v>23.0</v>
      </c>
      <c r="N77" s="3">
        <v>5.0</v>
      </c>
      <c r="O77" s="13">
        <f t="shared" si="1"/>
        <v>398</v>
      </c>
    </row>
    <row r="78" ht="15.75" customHeight="1">
      <c r="A78" s="5" t="s">
        <v>197</v>
      </c>
      <c r="B78" s="7">
        <v>46250.0</v>
      </c>
      <c r="C78" s="5" t="s">
        <v>61</v>
      </c>
      <c r="D78" s="5" t="s">
        <v>124</v>
      </c>
      <c r="E78" s="5" t="s">
        <v>114</v>
      </c>
      <c r="F78" s="5" t="s">
        <v>44</v>
      </c>
      <c r="G78" s="3">
        <v>6.0</v>
      </c>
      <c r="H78" s="8">
        <v>1750.0</v>
      </c>
      <c r="I78" s="9">
        <v>0.1</v>
      </c>
      <c r="J78" s="8">
        <v>0.0</v>
      </c>
      <c r="K78" s="5" t="s">
        <v>76</v>
      </c>
      <c r="L78" s="10">
        <v>4.2</v>
      </c>
      <c r="M78" s="3">
        <v>28.0</v>
      </c>
      <c r="N78" s="3">
        <v>5.0</v>
      </c>
      <c r="O78" s="13">
        <f t="shared" si="1"/>
        <v>1575</v>
      </c>
    </row>
    <row r="79" ht="15.75" customHeight="1">
      <c r="A79" s="5" t="s">
        <v>198</v>
      </c>
      <c r="B79" s="7">
        <v>46250.0</v>
      </c>
      <c r="C79" s="5" t="s">
        <v>121</v>
      </c>
      <c r="D79" s="5" t="s">
        <v>124</v>
      </c>
      <c r="E79" s="5" t="s">
        <v>114</v>
      </c>
      <c r="F79" s="5" t="s">
        <v>110</v>
      </c>
      <c r="G79" s="3">
        <v>1.0</v>
      </c>
      <c r="H79" s="8">
        <v>280.0</v>
      </c>
      <c r="I79" s="9">
        <v>0.1</v>
      </c>
      <c r="J79" s="8">
        <v>30.0</v>
      </c>
      <c r="K79" s="5" t="s">
        <v>76</v>
      </c>
      <c r="L79" s="10">
        <v>7.0</v>
      </c>
      <c r="M79" s="3">
        <v>40.0</v>
      </c>
      <c r="N79" s="3">
        <v>5.0</v>
      </c>
      <c r="O79" s="13">
        <f t="shared" si="1"/>
        <v>282</v>
      </c>
    </row>
    <row r="80" ht="15.75" customHeight="1">
      <c r="A80" s="5" t="s">
        <v>199</v>
      </c>
      <c r="B80" s="7">
        <v>46251.0</v>
      </c>
      <c r="C80" s="5" t="s">
        <v>61</v>
      </c>
      <c r="D80" s="5" t="s">
        <v>132</v>
      </c>
      <c r="E80" s="5" t="s">
        <v>114</v>
      </c>
      <c r="F80" s="5" t="s">
        <v>110</v>
      </c>
      <c r="G80" s="3">
        <v>4.0</v>
      </c>
      <c r="H80" s="8">
        <v>690.0</v>
      </c>
      <c r="I80" s="9">
        <v>0.2</v>
      </c>
      <c r="J80" s="8">
        <v>0.0</v>
      </c>
      <c r="K80" s="5" t="s">
        <v>127</v>
      </c>
      <c r="L80" s="10">
        <v>8.2</v>
      </c>
      <c r="M80" s="3">
        <v>39.0</v>
      </c>
      <c r="N80" s="3">
        <v>4.0</v>
      </c>
      <c r="O80" s="13">
        <f t="shared" si="1"/>
        <v>552</v>
      </c>
    </row>
    <row r="81" ht="15.75" customHeight="1">
      <c r="A81" s="5" t="s">
        <v>200</v>
      </c>
      <c r="B81" s="7">
        <v>46251.0</v>
      </c>
      <c r="C81" s="5" t="s">
        <v>121</v>
      </c>
      <c r="D81" s="5" t="s">
        <v>113</v>
      </c>
      <c r="E81" s="5" t="s">
        <v>114</v>
      </c>
      <c r="F81" s="5" t="s">
        <v>44</v>
      </c>
      <c r="G81" s="3">
        <v>3.0</v>
      </c>
      <c r="H81" s="8">
        <v>630.0</v>
      </c>
      <c r="I81" s="9">
        <v>0.2</v>
      </c>
      <c r="J81" s="8">
        <v>0.0</v>
      </c>
      <c r="K81" s="5" t="s">
        <v>76</v>
      </c>
      <c r="L81" s="10">
        <v>9.5</v>
      </c>
      <c r="M81" s="3">
        <v>54.0</v>
      </c>
      <c r="N81" s="3">
        <v>3.0</v>
      </c>
      <c r="O81" s="13">
        <f t="shared" si="1"/>
        <v>504</v>
      </c>
    </row>
    <row r="82" ht="15.75" customHeight="1">
      <c r="A82" s="5" t="s">
        <v>201</v>
      </c>
      <c r="B82" s="7">
        <v>46251.0</v>
      </c>
      <c r="C82" s="5" t="s">
        <v>35</v>
      </c>
      <c r="D82" s="5" t="s">
        <v>113</v>
      </c>
      <c r="E82" s="5" t="s">
        <v>114</v>
      </c>
      <c r="F82" s="5" t="s">
        <v>110</v>
      </c>
      <c r="G82" s="3">
        <v>3.0</v>
      </c>
      <c r="H82" s="8">
        <v>600.0</v>
      </c>
      <c r="I82" s="9">
        <v>0.1</v>
      </c>
      <c r="J82" s="8">
        <v>0.0</v>
      </c>
      <c r="K82" s="5" t="s">
        <v>76</v>
      </c>
      <c r="L82" s="10">
        <v>5.2</v>
      </c>
      <c r="M82" s="3">
        <v>112.0</v>
      </c>
      <c r="N82" s="3">
        <v>1.0</v>
      </c>
      <c r="O82" s="13">
        <f t="shared" si="1"/>
        <v>540</v>
      </c>
    </row>
    <row r="83" ht="15.75" customHeight="1">
      <c r="A83" s="5" t="s">
        <v>202</v>
      </c>
      <c r="B83" s="7">
        <v>46251.0</v>
      </c>
      <c r="C83" s="5" t="s">
        <v>61</v>
      </c>
      <c r="D83" s="5" t="s">
        <v>132</v>
      </c>
      <c r="E83" s="5" t="s">
        <v>114</v>
      </c>
      <c r="F83" s="5" t="s">
        <v>44</v>
      </c>
      <c r="G83" s="3">
        <v>2.0</v>
      </c>
      <c r="H83" s="8">
        <v>370.0</v>
      </c>
      <c r="I83" s="9">
        <v>0.1</v>
      </c>
      <c r="J83" s="8">
        <v>40.0</v>
      </c>
      <c r="K83" s="5" t="s">
        <v>87</v>
      </c>
      <c r="L83" s="10">
        <v>9.8</v>
      </c>
      <c r="M83" s="3">
        <v>53.0</v>
      </c>
      <c r="N83" s="3"/>
      <c r="O83" s="13">
        <f t="shared" si="1"/>
        <v>373</v>
      </c>
    </row>
    <row r="84" ht="15.75" customHeight="1">
      <c r="A84" s="5" t="s">
        <v>203</v>
      </c>
      <c r="B84" s="7">
        <v>46252.0</v>
      </c>
      <c r="C84" s="5" t="s">
        <v>121</v>
      </c>
      <c r="D84" s="5" t="s">
        <v>113</v>
      </c>
      <c r="E84" s="5" t="s">
        <v>41</v>
      </c>
      <c r="F84" s="5" t="s">
        <v>44</v>
      </c>
      <c r="G84" s="3">
        <v>1.0</v>
      </c>
      <c r="H84" s="8">
        <v>270.0</v>
      </c>
      <c r="I84" s="9">
        <v>0.1</v>
      </c>
      <c r="J84" s="8">
        <v>0.0</v>
      </c>
      <c r="K84" s="5" t="s">
        <v>76</v>
      </c>
      <c r="L84" s="10">
        <v>10.5</v>
      </c>
      <c r="M84" s="3">
        <v>57.0</v>
      </c>
      <c r="N84" s="3">
        <v>2.0</v>
      </c>
      <c r="O84" s="13">
        <f t="shared" si="1"/>
        <v>243</v>
      </c>
    </row>
    <row r="85" ht="15.75" customHeight="1">
      <c r="A85" s="5" t="s">
        <v>204</v>
      </c>
      <c r="B85" s="7">
        <v>46253.0</v>
      </c>
      <c r="C85" s="5" t="s">
        <v>142</v>
      </c>
      <c r="D85" s="5" t="s">
        <v>130</v>
      </c>
      <c r="E85" s="5" t="s">
        <v>41</v>
      </c>
      <c r="F85" s="5" t="s">
        <v>110</v>
      </c>
      <c r="G85" s="3">
        <v>1.0</v>
      </c>
      <c r="H85" s="8">
        <v>160.0</v>
      </c>
      <c r="I85" s="9">
        <v>0.2</v>
      </c>
      <c r="J85" s="8">
        <v>0.0</v>
      </c>
      <c r="K85" s="5" t="s">
        <v>111</v>
      </c>
      <c r="L85" s="10">
        <v>3.4</v>
      </c>
      <c r="M85" s="3">
        <v>22.0</v>
      </c>
      <c r="N85" s="3"/>
      <c r="O85" s="13">
        <f t="shared" si="1"/>
        <v>128</v>
      </c>
    </row>
    <row r="86" ht="15.75" customHeight="1">
      <c r="A86" s="5" t="s">
        <v>205</v>
      </c>
      <c r="B86" s="7">
        <v>46255.0</v>
      </c>
      <c r="C86" s="5" t="s">
        <v>121</v>
      </c>
      <c r="D86" s="5" t="s">
        <v>124</v>
      </c>
      <c r="E86" s="5" t="s">
        <v>65</v>
      </c>
      <c r="F86" s="5" t="s">
        <v>44</v>
      </c>
      <c r="G86" s="3">
        <v>6.0</v>
      </c>
      <c r="H86" s="8">
        <v>1890.0</v>
      </c>
      <c r="I86" s="9">
        <v>0.05</v>
      </c>
      <c r="J86" s="8">
        <v>0.0</v>
      </c>
      <c r="K86" s="5" t="s">
        <v>111</v>
      </c>
      <c r="L86" s="10">
        <v>4.1</v>
      </c>
      <c r="M86" s="3">
        <v>32.0</v>
      </c>
      <c r="N86" s="3">
        <v>4.0</v>
      </c>
      <c r="O86" s="13">
        <f t="shared" si="1"/>
        <v>1795.5</v>
      </c>
    </row>
    <row r="87" ht="15.75" customHeight="1">
      <c r="A87" s="5" t="s">
        <v>206</v>
      </c>
      <c r="B87" s="7">
        <v>46255.0</v>
      </c>
      <c r="C87" s="5" t="s">
        <v>121</v>
      </c>
      <c r="D87" s="5" t="s">
        <v>124</v>
      </c>
      <c r="E87" s="5" t="s">
        <v>41</v>
      </c>
      <c r="F87" s="5" t="s">
        <v>44</v>
      </c>
      <c r="G87" s="3">
        <v>2.0</v>
      </c>
      <c r="H87" s="8">
        <v>650.0</v>
      </c>
      <c r="I87" s="9">
        <v>0.1</v>
      </c>
      <c r="J87" s="8">
        <v>0.0</v>
      </c>
      <c r="K87" s="5" t="s">
        <v>111</v>
      </c>
      <c r="L87" s="10">
        <v>8.8</v>
      </c>
      <c r="M87" s="3">
        <v>45.0</v>
      </c>
      <c r="N87" s="3">
        <v>4.0</v>
      </c>
      <c r="O87" s="13">
        <f t="shared" si="1"/>
        <v>585</v>
      </c>
    </row>
    <row r="88" ht="15.75" customHeight="1">
      <c r="A88" s="5" t="s">
        <v>207</v>
      </c>
      <c r="B88" s="7">
        <v>46256.0</v>
      </c>
      <c r="C88" s="5" t="s">
        <v>61</v>
      </c>
      <c r="D88" s="5" t="s">
        <v>124</v>
      </c>
      <c r="E88" s="5" t="s">
        <v>114</v>
      </c>
      <c r="F88" s="5" t="s">
        <v>44</v>
      </c>
      <c r="G88" s="3">
        <v>4.0</v>
      </c>
      <c r="H88" s="8">
        <v>1200.0</v>
      </c>
      <c r="I88" s="9">
        <v>0.0</v>
      </c>
      <c r="J88" s="8">
        <v>0.0</v>
      </c>
      <c r="K88" s="5" t="s">
        <v>127</v>
      </c>
      <c r="L88" s="10">
        <v>10.8</v>
      </c>
      <c r="M88" s="3">
        <v>46.0</v>
      </c>
      <c r="N88" s="3">
        <v>3.0</v>
      </c>
      <c r="O88" s="13">
        <f t="shared" si="1"/>
        <v>1200</v>
      </c>
    </row>
    <row r="89" ht="15.75" customHeight="1">
      <c r="A89" s="5" t="s">
        <v>208</v>
      </c>
      <c r="B89" s="7">
        <v>46257.0</v>
      </c>
      <c r="C89" s="5" t="s">
        <v>121</v>
      </c>
      <c r="D89" s="5" t="s">
        <v>145</v>
      </c>
      <c r="E89" s="5" t="s">
        <v>114</v>
      </c>
      <c r="F89" s="5" t="s">
        <v>44</v>
      </c>
      <c r="G89" s="3">
        <v>3.0</v>
      </c>
      <c r="H89" s="8">
        <v>390.0</v>
      </c>
      <c r="I89" s="9">
        <v>0.0</v>
      </c>
      <c r="J89" s="8">
        <v>30.0</v>
      </c>
      <c r="K89" s="5" t="s">
        <v>127</v>
      </c>
      <c r="L89" s="10">
        <v>1.7</v>
      </c>
      <c r="M89" s="3">
        <v>26.0</v>
      </c>
      <c r="N89" s="3">
        <v>4.0</v>
      </c>
      <c r="O89" s="13">
        <f t="shared" si="1"/>
        <v>420</v>
      </c>
    </row>
    <row r="90" ht="15.75" customHeight="1">
      <c r="A90" s="5" t="s">
        <v>209</v>
      </c>
      <c r="B90" s="7">
        <v>46257.0</v>
      </c>
      <c r="C90" s="5" t="s">
        <v>117</v>
      </c>
      <c r="D90" s="5" t="s">
        <v>113</v>
      </c>
      <c r="E90" s="5" t="s">
        <v>41</v>
      </c>
      <c r="F90" s="5" t="s">
        <v>44</v>
      </c>
      <c r="G90" s="3">
        <v>2.0</v>
      </c>
      <c r="H90" s="8">
        <v>550.0</v>
      </c>
      <c r="I90" s="9">
        <v>0.15</v>
      </c>
      <c r="J90" s="8">
        <v>0.0</v>
      </c>
      <c r="K90" s="5" t="s">
        <v>76</v>
      </c>
      <c r="L90" s="10">
        <v>4.7</v>
      </c>
      <c r="M90" s="3">
        <v>32.0</v>
      </c>
      <c r="N90" s="3">
        <v>5.0</v>
      </c>
      <c r="O90" s="13">
        <f t="shared" si="1"/>
        <v>467.5</v>
      </c>
    </row>
    <row r="91" ht="15.75" customHeight="1">
      <c r="A91" s="5" t="s">
        <v>210</v>
      </c>
      <c r="B91" s="7">
        <v>46258.0</v>
      </c>
      <c r="C91" s="5" t="s">
        <v>61</v>
      </c>
      <c r="D91" s="5" t="s">
        <v>145</v>
      </c>
      <c r="E91" s="5" t="s">
        <v>65</v>
      </c>
      <c r="F91" s="5" t="s">
        <v>44</v>
      </c>
      <c r="G91" s="3">
        <v>1.0</v>
      </c>
      <c r="H91" s="8">
        <v>130.0</v>
      </c>
      <c r="I91" s="9">
        <v>0.05</v>
      </c>
      <c r="J91" s="8">
        <v>30.0</v>
      </c>
      <c r="K91" s="5" t="s">
        <v>111</v>
      </c>
      <c r="L91" s="10">
        <v>6.8</v>
      </c>
      <c r="M91" s="3">
        <v>39.0</v>
      </c>
      <c r="N91" s="3">
        <v>5.0</v>
      </c>
      <c r="O91" s="13">
        <f t="shared" si="1"/>
        <v>153.5</v>
      </c>
    </row>
    <row r="92" ht="15.75" customHeight="1">
      <c r="A92" s="5" t="s">
        <v>211</v>
      </c>
      <c r="B92" s="7">
        <v>46258.0</v>
      </c>
      <c r="C92" s="5" t="s">
        <v>61</v>
      </c>
      <c r="D92" s="5" t="s">
        <v>38</v>
      </c>
      <c r="E92" s="5" t="s">
        <v>65</v>
      </c>
      <c r="F92" s="5" t="s">
        <v>44</v>
      </c>
      <c r="G92" s="3">
        <v>2.0</v>
      </c>
      <c r="H92" s="8">
        <v>550.0</v>
      </c>
      <c r="I92" s="9">
        <v>0.1</v>
      </c>
      <c r="J92" s="8">
        <v>0.0</v>
      </c>
      <c r="K92" s="5" t="s">
        <v>87</v>
      </c>
      <c r="L92" s="10">
        <v>8.7</v>
      </c>
      <c r="M92" s="3">
        <v>45.0</v>
      </c>
      <c r="N92" s="3">
        <v>3.0</v>
      </c>
      <c r="O92" s="13">
        <f t="shared" si="1"/>
        <v>495</v>
      </c>
    </row>
    <row r="93" ht="15.75" customHeight="1">
      <c r="A93" s="5" t="s">
        <v>212</v>
      </c>
      <c r="B93" s="7">
        <v>46258.0</v>
      </c>
      <c r="C93" s="5" t="s">
        <v>142</v>
      </c>
      <c r="D93" s="5" t="s">
        <v>145</v>
      </c>
      <c r="E93" s="5" t="s">
        <v>65</v>
      </c>
      <c r="F93" s="5" t="s">
        <v>44</v>
      </c>
      <c r="G93" s="3">
        <v>3.0</v>
      </c>
      <c r="H93" s="8">
        <v>320.0</v>
      </c>
      <c r="I93" s="9">
        <v>0.0</v>
      </c>
      <c r="J93" s="8">
        <v>40.0</v>
      </c>
      <c r="K93" s="5" t="s">
        <v>87</v>
      </c>
      <c r="L93" s="10">
        <v>8.7</v>
      </c>
      <c r="M93" s="3">
        <v>35.0</v>
      </c>
      <c r="N93" s="3"/>
      <c r="O93" s="13">
        <f t="shared" si="1"/>
        <v>360</v>
      </c>
    </row>
    <row r="94" ht="15.75" customHeight="1">
      <c r="A94" s="5" t="s">
        <v>213</v>
      </c>
      <c r="B94" s="7">
        <v>46259.0</v>
      </c>
      <c r="C94" s="5" t="s">
        <v>117</v>
      </c>
      <c r="D94" s="5" t="s">
        <v>113</v>
      </c>
      <c r="E94" s="5" t="s">
        <v>65</v>
      </c>
      <c r="F94" s="5" t="s">
        <v>110</v>
      </c>
      <c r="G94" s="3">
        <v>3.0</v>
      </c>
      <c r="H94" s="8">
        <v>600.0</v>
      </c>
      <c r="I94" s="9">
        <v>0.05</v>
      </c>
      <c r="J94" s="8">
        <v>0.0</v>
      </c>
      <c r="K94" s="5" t="s">
        <v>76</v>
      </c>
      <c r="L94" s="10">
        <v>6.6</v>
      </c>
      <c r="M94" s="3">
        <v>27.0</v>
      </c>
      <c r="N94" s="3">
        <v>5.0</v>
      </c>
      <c r="O94" s="13">
        <f t="shared" si="1"/>
        <v>570</v>
      </c>
    </row>
    <row r="95" ht="15.75" customHeight="1">
      <c r="A95" s="5" t="s">
        <v>214</v>
      </c>
      <c r="B95" s="7">
        <v>46259.0</v>
      </c>
      <c r="C95" s="5" t="s">
        <v>121</v>
      </c>
      <c r="D95" s="5" t="s">
        <v>113</v>
      </c>
      <c r="E95" s="5" t="s">
        <v>41</v>
      </c>
      <c r="F95" s="5" t="s">
        <v>44</v>
      </c>
      <c r="G95" s="3">
        <v>3.0</v>
      </c>
      <c r="H95" s="8">
        <v>730.0</v>
      </c>
      <c r="I95" s="9">
        <v>0.2</v>
      </c>
      <c r="J95" s="8">
        <v>0.0</v>
      </c>
      <c r="K95" s="5" t="s">
        <v>76</v>
      </c>
      <c r="L95" s="10">
        <v>5.6</v>
      </c>
      <c r="M95" s="3">
        <v>41.0</v>
      </c>
      <c r="N95" s="3">
        <v>4.0</v>
      </c>
      <c r="O95" s="13">
        <f t="shared" si="1"/>
        <v>584</v>
      </c>
    </row>
    <row r="96" ht="15.75" customHeight="1">
      <c r="A96" s="5" t="s">
        <v>215</v>
      </c>
      <c r="B96" s="7">
        <v>46259.0</v>
      </c>
      <c r="C96" s="5" t="s">
        <v>117</v>
      </c>
      <c r="D96" s="5" t="s">
        <v>118</v>
      </c>
      <c r="E96" s="5" t="s">
        <v>65</v>
      </c>
      <c r="F96" s="5" t="s">
        <v>44</v>
      </c>
      <c r="G96" s="3">
        <v>2.0</v>
      </c>
      <c r="H96" s="8">
        <v>310.0</v>
      </c>
      <c r="I96" s="9">
        <v>0.0</v>
      </c>
      <c r="J96" s="8">
        <v>30.0</v>
      </c>
      <c r="K96" s="5" t="s">
        <v>76</v>
      </c>
      <c r="L96" s="10">
        <v>11.0</v>
      </c>
      <c r="M96" s="3">
        <v>46.0</v>
      </c>
      <c r="N96" s="3">
        <v>3.0</v>
      </c>
      <c r="O96" s="13">
        <f t="shared" si="1"/>
        <v>340</v>
      </c>
    </row>
    <row r="97" ht="15.75" customHeight="1">
      <c r="A97" s="5" t="s">
        <v>216</v>
      </c>
      <c r="B97" s="7">
        <v>46259.0</v>
      </c>
      <c r="C97" s="5" t="s">
        <v>121</v>
      </c>
      <c r="D97" s="5" t="s">
        <v>145</v>
      </c>
      <c r="E97" s="5" t="s">
        <v>65</v>
      </c>
      <c r="F97" s="5" t="s">
        <v>44</v>
      </c>
      <c r="G97" s="3">
        <v>4.0</v>
      </c>
      <c r="H97" s="8">
        <v>430.0</v>
      </c>
      <c r="I97" s="9">
        <v>0.05</v>
      </c>
      <c r="J97" s="8">
        <v>40.0</v>
      </c>
      <c r="K97" s="5" t="s">
        <v>111</v>
      </c>
      <c r="L97" s="10">
        <v>10.0</v>
      </c>
      <c r="M97" s="3">
        <v>52.0</v>
      </c>
      <c r="N97" s="3">
        <v>3.0</v>
      </c>
      <c r="O97" s="13">
        <f t="shared" si="1"/>
        <v>448.5</v>
      </c>
    </row>
    <row r="98" ht="15.75" customHeight="1">
      <c r="A98" s="5" t="s">
        <v>217</v>
      </c>
      <c r="B98" s="7">
        <v>46261.0</v>
      </c>
      <c r="C98" s="5" t="s">
        <v>121</v>
      </c>
      <c r="D98" s="5" t="s">
        <v>145</v>
      </c>
      <c r="E98" s="5" t="s">
        <v>65</v>
      </c>
      <c r="F98" s="5" t="s">
        <v>44</v>
      </c>
      <c r="G98" s="3">
        <v>1.0</v>
      </c>
      <c r="H98" s="8">
        <v>120.0</v>
      </c>
      <c r="I98" s="9">
        <v>0.0</v>
      </c>
      <c r="J98" s="8">
        <v>30.0</v>
      </c>
      <c r="K98" s="5" t="s">
        <v>76</v>
      </c>
      <c r="L98" s="10">
        <v>10.4</v>
      </c>
      <c r="M98" s="3">
        <v>55.0</v>
      </c>
      <c r="N98" s="3">
        <v>3.0</v>
      </c>
      <c r="O98" s="13">
        <f t="shared" si="1"/>
        <v>150</v>
      </c>
    </row>
    <row r="99" ht="15.75" customHeight="1">
      <c r="A99" s="5" t="s">
        <v>218</v>
      </c>
      <c r="B99" s="7">
        <v>46261.0</v>
      </c>
      <c r="C99" s="5" t="s">
        <v>121</v>
      </c>
      <c r="D99" s="5" t="s">
        <v>38</v>
      </c>
      <c r="E99" s="5" t="s">
        <v>114</v>
      </c>
      <c r="F99" s="5" t="s">
        <v>110</v>
      </c>
      <c r="G99" s="3">
        <v>2.0</v>
      </c>
      <c r="H99" s="8">
        <v>550.0</v>
      </c>
      <c r="I99" s="9">
        <v>0.0</v>
      </c>
      <c r="J99" s="8">
        <v>0.0</v>
      </c>
      <c r="K99" s="5" t="s">
        <v>127</v>
      </c>
      <c r="L99" s="10">
        <v>3.9</v>
      </c>
      <c r="M99" s="3">
        <v>33.0</v>
      </c>
      <c r="N99" s="3"/>
      <c r="O99" s="13">
        <f t="shared" si="1"/>
        <v>550</v>
      </c>
    </row>
    <row r="100" ht="15.75" customHeight="1">
      <c r="A100" s="5" t="s">
        <v>219</v>
      </c>
      <c r="B100" s="7">
        <v>46262.0</v>
      </c>
      <c r="C100" s="5" t="s">
        <v>121</v>
      </c>
      <c r="D100" s="5" t="s">
        <v>113</v>
      </c>
      <c r="E100" s="5" t="s">
        <v>65</v>
      </c>
      <c r="F100" s="5" t="s">
        <v>44</v>
      </c>
      <c r="G100" s="3">
        <v>1.0</v>
      </c>
      <c r="H100" s="8">
        <v>220.0</v>
      </c>
      <c r="I100" s="9">
        <v>0.1</v>
      </c>
      <c r="J100" s="8">
        <v>40.0</v>
      </c>
      <c r="K100" s="5" t="s">
        <v>87</v>
      </c>
      <c r="L100" s="10">
        <v>11.8</v>
      </c>
      <c r="M100" s="3">
        <v>58.0</v>
      </c>
      <c r="N100" s="3">
        <v>2.0</v>
      </c>
      <c r="O100" s="13">
        <f t="shared" si="1"/>
        <v>238</v>
      </c>
    </row>
    <row r="101" ht="15.75" customHeight="1">
      <c r="A101" s="5" t="s">
        <v>220</v>
      </c>
      <c r="B101" s="7">
        <v>46262.0</v>
      </c>
      <c r="C101" s="5" t="s">
        <v>142</v>
      </c>
      <c r="D101" s="5" t="s">
        <v>118</v>
      </c>
      <c r="E101" s="5" t="s">
        <v>65</v>
      </c>
      <c r="F101" s="5" t="s">
        <v>44</v>
      </c>
      <c r="G101" s="3">
        <v>2.0</v>
      </c>
      <c r="H101" s="8">
        <v>360.0</v>
      </c>
      <c r="I101" s="9">
        <v>0.05</v>
      </c>
      <c r="J101" s="8">
        <v>30.0</v>
      </c>
      <c r="K101" s="5" t="s">
        <v>76</v>
      </c>
      <c r="L101" s="10">
        <v>9.9</v>
      </c>
      <c r="M101" s="3">
        <v>41.0</v>
      </c>
      <c r="N101" s="3">
        <v>5.0</v>
      </c>
      <c r="O101" s="13">
        <f t="shared" si="1"/>
        <v>372</v>
      </c>
    </row>
    <row r="102" ht="15.75" customHeight="1">
      <c r="A102" s="5" t="s">
        <v>221</v>
      </c>
      <c r="B102" s="7">
        <v>46263.0</v>
      </c>
      <c r="C102" s="5" t="s">
        <v>61</v>
      </c>
      <c r="D102" s="5" t="s">
        <v>118</v>
      </c>
      <c r="E102" s="5" t="s">
        <v>65</v>
      </c>
      <c r="F102" s="5" t="s">
        <v>44</v>
      </c>
      <c r="G102" s="3">
        <v>2.0</v>
      </c>
      <c r="H102" s="8">
        <v>300.0</v>
      </c>
      <c r="I102" s="9">
        <v>0.0</v>
      </c>
      <c r="J102" s="8">
        <v>40.0</v>
      </c>
      <c r="K102" s="5" t="s">
        <v>76</v>
      </c>
      <c r="L102" s="10">
        <v>11.6</v>
      </c>
      <c r="M102" s="3">
        <v>55.0</v>
      </c>
      <c r="N102" s="3">
        <v>4.0</v>
      </c>
      <c r="O102" s="13">
        <f t="shared" si="1"/>
        <v>340</v>
      </c>
    </row>
    <row r="103" ht="15.75" customHeight="1">
      <c r="A103" s="5" t="s">
        <v>222</v>
      </c>
      <c r="B103" s="7">
        <v>46263.0</v>
      </c>
      <c r="C103" s="5" t="s">
        <v>121</v>
      </c>
      <c r="D103" s="5" t="s">
        <v>124</v>
      </c>
      <c r="E103" s="5" t="s">
        <v>41</v>
      </c>
      <c r="F103" s="5" t="s">
        <v>44</v>
      </c>
      <c r="G103" s="3">
        <v>4.0</v>
      </c>
      <c r="H103" s="8">
        <v>1430.0</v>
      </c>
      <c r="I103" s="9">
        <v>0.2</v>
      </c>
      <c r="J103" s="8">
        <v>0.0</v>
      </c>
      <c r="K103" s="5" t="s">
        <v>127</v>
      </c>
      <c r="L103" s="10">
        <v>10.0</v>
      </c>
      <c r="M103" s="3">
        <v>55.0</v>
      </c>
      <c r="N103" s="3">
        <v>3.0</v>
      </c>
      <c r="O103" s="13">
        <f t="shared" si="1"/>
        <v>1144</v>
      </c>
    </row>
    <row r="104" ht="15.75" customHeight="1">
      <c r="A104" s="5" t="s">
        <v>223</v>
      </c>
      <c r="B104" s="7">
        <v>46263.0</v>
      </c>
      <c r="C104" s="5" t="s">
        <v>121</v>
      </c>
      <c r="D104" s="5" t="s">
        <v>145</v>
      </c>
      <c r="E104" s="5" t="s">
        <v>114</v>
      </c>
      <c r="F104" s="5" t="s">
        <v>44</v>
      </c>
      <c r="G104" s="3">
        <v>3.0</v>
      </c>
      <c r="H104" s="8">
        <v>370.0</v>
      </c>
      <c r="I104" s="9">
        <v>0.0</v>
      </c>
      <c r="J104" s="8">
        <v>40.0</v>
      </c>
      <c r="K104" s="5" t="s">
        <v>87</v>
      </c>
      <c r="L104" s="10">
        <v>6.5</v>
      </c>
      <c r="M104" s="3">
        <v>46.0</v>
      </c>
      <c r="N104" s="3">
        <v>3.0</v>
      </c>
      <c r="O104" s="13">
        <f t="shared" si="1"/>
        <v>410</v>
      </c>
    </row>
    <row r="105" ht="15.75" customHeight="1">
      <c r="A105" s="5" t="s">
        <v>224</v>
      </c>
      <c r="B105" s="7">
        <v>46263.0</v>
      </c>
      <c r="C105" s="5" t="s">
        <v>121</v>
      </c>
      <c r="D105" s="5" t="s">
        <v>124</v>
      </c>
      <c r="E105" s="5" t="s">
        <v>65</v>
      </c>
      <c r="F105" s="5" t="s">
        <v>44</v>
      </c>
      <c r="G105" s="3">
        <v>2.0</v>
      </c>
      <c r="H105" s="8">
        <v>550.0</v>
      </c>
      <c r="I105" s="9">
        <v>0.1</v>
      </c>
      <c r="J105" s="8">
        <v>0.0</v>
      </c>
      <c r="K105" s="5" t="s">
        <v>87</v>
      </c>
      <c r="L105" s="10">
        <v>11.7</v>
      </c>
      <c r="M105" s="3">
        <v>52.0</v>
      </c>
      <c r="N105" s="3">
        <v>4.0</v>
      </c>
      <c r="O105" s="13">
        <f t="shared" si="1"/>
        <v>495</v>
      </c>
    </row>
    <row r="106" ht="15.75" customHeight="1">
      <c r="A106" s="5" t="s">
        <v>225</v>
      </c>
      <c r="B106" s="7">
        <v>46263.0</v>
      </c>
      <c r="C106" s="5" t="s">
        <v>121</v>
      </c>
      <c r="D106" s="5" t="s">
        <v>145</v>
      </c>
      <c r="E106" s="5" t="s">
        <v>41</v>
      </c>
      <c r="F106" s="5" t="s">
        <v>44</v>
      </c>
      <c r="G106" s="3">
        <v>6.0</v>
      </c>
      <c r="H106" s="8">
        <v>830.0</v>
      </c>
      <c r="I106" s="9">
        <v>0.2</v>
      </c>
      <c r="J106" s="8">
        <v>0.0</v>
      </c>
      <c r="K106" s="5" t="s">
        <v>127</v>
      </c>
      <c r="L106" s="10">
        <v>5.4</v>
      </c>
      <c r="M106" s="3">
        <v>38.0</v>
      </c>
      <c r="N106" s="3">
        <v>4.0</v>
      </c>
      <c r="O106" s="13">
        <f t="shared" si="1"/>
        <v>664</v>
      </c>
    </row>
    <row r="107" ht="15.75" customHeight="1">
      <c r="A107" s="5" t="s">
        <v>226</v>
      </c>
      <c r="B107" s="7">
        <v>46263.0</v>
      </c>
      <c r="C107" s="5" t="s">
        <v>121</v>
      </c>
      <c r="D107" s="5" t="s">
        <v>145</v>
      </c>
      <c r="E107" s="5" t="s">
        <v>114</v>
      </c>
      <c r="F107" s="5" t="s">
        <v>44</v>
      </c>
      <c r="G107" s="3">
        <v>3.0</v>
      </c>
      <c r="H107" s="8">
        <v>330.0</v>
      </c>
      <c r="I107" s="9">
        <v>0.1</v>
      </c>
      <c r="J107" s="8">
        <v>40.0</v>
      </c>
      <c r="K107" s="5" t="s">
        <v>111</v>
      </c>
      <c r="L107" s="10">
        <v>6.1</v>
      </c>
      <c r="M107" s="3">
        <v>42.0</v>
      </c>
      <c r="N107" s="3">
        <v>3.0</v>
      </c>
      <c r="O107" s="13">
        <f t="shared" si="1"/>
        <v>337</v>
      </c>
    </row>
    <row r="108" ht="15.75" customHeight="1">
      <c r="A108" s="5" t="s">
        <v>227</v>
      </c>
      <c r="B108" s="7">
        <v>46264.0</v>
      </c>
      <c r="C108" s="5" t="s">
        <v>117</v>
      </c>
      <c r="D108" s="5" t="s">
        <v>113</v>
      </c>
      <c r="E108" s="5" t="s">
        <v>114</v>
      </c>
      <c r="F108" s="5" t="s">
        <v>44</v>
      </c>
      <c r="G108" s="3">
        <v>4.0</v>
      </c>
      <c r="H108" s="8">
        <v>950.0</v>
      </c>
      <c r="I108" s="9">
        <v>0.2</v>
      </c>
      <c r="J108" s="8">
        <v>0.0</v>
      </c>
      <c r="K108" s="5" t="s">
        <v>76</v>
      </c>
      <c r="L108" s="10">
        <v>9.7</v>
      </c>
      <c r="M108" s="3">
        <v>48.0</v>
      </c>
      <c r="N108" s="3">
        <v>4.0</v>
      </c>
      <c r="O108" s="13">
        <f t="shared" si="1"/>
        <v>760</v>
      </c>
    </row>
    <row r="109" ht="15.75" customHeight="1">
      <c r="A109" s="5" t="s">
        <v>228</v>
      </c>
      <c r="B109" s="7">
        <v>46264.0</v>
      </c>
      <c r="C109" s="5" t="s">
        <v>117</v>
      </c>
      <c r="D109" s="5" t="s">
        <v>124</v>
      </c>
      <c r="E109" s="5" t="s">
        <v>114</v>
      </c>
      <c r="F109" s="5" t="s">
        <v>44</v>
      </c>
      <c r="G109" s="3">
        <v>5.0</v>
      </c>
      <c r="H109" s="8">
        <v>1710.0</v>
      </c>
      <c r="I109" s="9">
        <v>0.1</v>
      </c>
      <c r="J109" s="8">
        <v>0.0</v>
      </c>
      <c r="K109" s="5" t="s">
        <v>76</v>
      </c>
      <c r="L109" s="10">
        <v>2.8</v>
      </c>
      <c r="M109" s="3">
        <v>23.0</v>
      </c>
      <c r="N109" s="3">
        <v>5.0</v>
      </c>
      <c r="O109" s="13">
        <f t="shared" si="1"/>
        <v>1539</v>
      </c>
    </row>
    <row r="110" ht="15.75" customHeight="1">
      <c r="A110" s="5" t="s">
        <v>229</v>
      </c>
      <c r="B110" s="7">
        <v>46264.0</v>
      </c>
      <c r="C110" s="5" t="s">
        <v>121</v>
      </c>
      <c r="D110" s="5" t="s">
        <v>132</v>
      </c>
      <c r="E110" s="5" t="s">
        <v>65</v>
      </c>
      <c r="F110" s="5" t="s">
        <v>110</v>
      </c>
      <c r="G110" s="3">
        <v>3.0</v>
      </c>
      <c r="H110" s="8">
        <v>520.0</v>
      </c>
      <c r="I110" s="9">
        <v>0.0</v>
      </c>
      <c r="J110" s="8">
        <v>0.0</v>
      </c>
      <c r="K110" s="5" t="s">
        <v>87</v>
      </c>
      <c r="L110" s="10">
        <v>11.9</v>
      </c>
      <c r="M110" s="3">
        <v>64.0</v>
      </c>
      <c r="N110" s="3">
        <v>3.0</v>
      </c>
      <c r="O110" s="13">
        <f t="shared" si="1"/>
        <v>520</v>
      </c>
    </row>
    <row r="111" ht="15.75" customHeight="1">
      <c r="A111" s="5" t="s">
        <v>230</v>
      </c>
      <c r="B111" s="7">
        <v>46264.0</v>
      </c>
      <c r="C111" s="5" t="s">
        <v>121</v>
      </c>
      <c r="D111" s="5" t="s">
        <v>124</v>
      </c>
      <c r="E111" s="5" t="s">
        <v>114</v>
      </c>
      <c r="F111" s="5" t="s">
        <v>44</v>
      </c>
      <c r="G111" s="3">
        <v>3.0</v>
      </c>
      <c r="H111" s="8">
        <v>830.0</v>
      </c>
      <c r="I111" s="9">
        <v>0.2</v>
      </c>
      <c r="J111" s="8">
        <v>0.0</v>
      </c>
      <c r="K111" s="5" t="s">
        <v>127</v>
      </c>
      <c r="L111" s="10">
        <v>6.8</v>
      </c>
      <c r="M111" s="3">
        <v>44.0</v>
      </c>
      <c r="N111" s="3">
        <v>3.0</v>
      </c>
      <c r="O111" s="13">
        <f t="shared" si="1"/>
        <v>664</v>
      </c>
    </row>
    <row r="112" ht="15.75" customHeight="1">
      <c r="A112" s="5" t="s">
        <v>231</v>
      </c>
      <c r="B112" s="7">
        <v>46265.0</v>
      </c>
      <c r="C112" s="5" t="s">
        <v>61</v>
      </c>
      <c r="D112" s="5" t="s">
        <v>113</v>
      </c>
      <c r="E112" s="5" t="s">
        <v>41</v>
      </c>
      <c r="F112" s="5" t="s">
        <v>44</v>
      </c>
      <c r="G112" s="3">
        <v>3.0</v>
      </c>
      <c r="H112" s="8">
        <v>750.0</v>
      </c>
      <c r="I112" s="9">
        <v>0.2</v>
      </c>
      <c r="J112" s="8">
        <v>0.0</v>
      </c>
      <c r="K112" s="5" t="s">
        <v>76</v>
      </c>
      <c r="L112" s="10">
        <v>10.0</v>
      </c>
      <c r="M112" s="3">
        <v>53.0</v>
      </c>
      <c r="N112" s="3">
        <v>3.0</v>
      </c>
      <c r="O112" s="13">
        <f t="shared" si="1"/>
        <v>600</v>
      </c>
    </row>
    <row r="113" ht="15.75" customHeight="1">
      <c r="A113" s="5" t="s">
        <v>232</v>
      </c>
      <c r="B113" s="7">
        <v>46265.0</v>
      </c>
      <c r="C113" s="5" t="s">
        <v>61</v>
      </c>
      <c r="D113" s="5" t="s">
        <v>113</v>
      </c>
      <c r="E113" s="5" t="s">
        <v>114</v>
      </c>
      <c r="F113" s="5" t="s">
        <v>110</v>
      </c>
      <c r="G113" s="3">
        <v>3.0</v>
      </c>
      <c r="H113" s="8">
        <v>680.0</v>
      </c>
      <c r="I113" s="9">
        <v>0.1</v>
      </c>
      <c r="J113" s="8">
        <v>0.0</v>
      </c>
      <c r="K113" s="5" t="s">
        <v>76</v>
      </c>
      <c r="L113" s="10">
        <v>8.9</v>
      </c>
      <c r="M113" s="3">
        <v>47.0</v>
      </c>
      <c r="N113" s="3">
        <v>5.0</v>
      </c>
      <c r="O113" s="13">
        <f t="shared" si="1"/>
        <v>612</v>
      </c>
    </row>
    <row r="114" ht="15.75" customHeight="1">
      <c r="A114" s="5" t="s">
        <v>233</v>
      </c>
      <c r="B114" s="7">
        <v>46265.0</v>
      </c>
      <c r="C114" s="5" t="s">
        <v>61</v>
      </c>
      <c r="D114" s="5" t="s">
        <v>132</v>
      </c>
      <c r="E114" s="5" t="s">
        <v>65</v>
      </c>
      <c r="F114" s="5" t="s">
        <v>44</v>
      </c>
      <c r="G114" s="3">
        <v>2.0</v>
      </c>
      <c r="H114" s="8">
        <v>340.0</v>
      </c>
      <c r="I114" s="9">
        <v>0.1</v>
      </c>
      <c r="J114" s="8">
        <v>40.0</v>
      </c>
      <c r="K114" s="5" t="s">
        <v>87</v>
      </c>
      <c r="L114" s="10">
        <v>3.2</v>
      </c>
      <c r="M114" s="3">
        <v>25.0</v>
      </c>
      <c r="N114" s="3">
        <v>5.0</v>
      </c>
      <c r="O114" s="13">
        <f t="shared" si="1"/>
        <v>346</v>
      </c>
    </row>
    <row r="115" ht="15.75" customHeight="1">
      <c r="A115" s="5" t="s">
        <v>234</v>
      </c>
      <c r="B115" s="7">
        <v>46265.0</v>
      </c>
      <c r="C115" s="5" t="s">
        <v>61</v>
      </c>
      <c r="D115" s="5" t="s">
        <v>132</v>
      </c>
      <c r="E115" s="5" t="s">
        <v>65</v>
      </c>
      <c r="F115" s="5" t="s">
        <v>44</v>
      </c>
      <c r="G115" s="3">
        <v>1.0</v>
      </c>
      <c r="H115" s="8">
        <v>170.0</v>
      </c>
      <c r="I115" s="9">
        <v>0.0</v>
      </c>
      <c r="J115" s="8">
        <v>40.0</v>
      </c>
      <c r="K115" s="5" t="s">
        <v>111</v>
      </c>
      <c r="L115" s="10">
        <v>9.1</v>
      </c>
      <c r="M115" s="3">
        <v>50.0</v>
      </c>
      <c r="N115" s="3">
        <v>4.0</v>
      </c>
      <c r="O115" s="13">
        <f t="shared" si="1"/>
        <v>210</v>
      </c>
    </row>
    <row r="116" ht="15.75" customHeight="1">
      <c r="A116" s="5" t="s">
        <v>235</v>
      </c>
      <c r="B116" s="7">
        <v>46266.0</v>
      </c>
      <c r="C116" s="5" t="s">
        <v>61</v>
      </c>
      <c r="D116" s="5" t="s">
        <v>132</v>
      </c>
      <c r="E116" s="5" t="s">
        <v>65</v>
      </c>
      <c r="F116" s="5" t="s">
        <v>110</v>
      </c>
      <c r="G116" s="3">
        <v>3.0</v>
      </c>
      <c r="H116" s="8">
        <v>640.0</v>
      </c>
      <c r="I116" s="9">
        <v>0.05</v>
      </c>
      <c r="J116" s="8">
        <v>0.0</v>
      </c>
      <c r="K116" s="5" t="s">
        <v>87</v>
      </c>
      <c r="L116" s="10">
        <v>6.8</v>
      </c>
      <c r="M116" s="3">
        <v>41.0</v>
      </c>
      <c r="N116" s="3">
        <v>4.0</v>
      </c>
      <c r="O116" s="13">
        <f t="shared" si="1"/>
        <v>608</v>
      </c>
    </row>
    <row r="117" ht="15.75" customHeight="1">
      <c r="A117" s="5" t="s">
        <v>236</v>
      </c>
      <c r="B117" s="7">
        <v>46267.0</v>
      </c>
      <c r="C117" s="5" t="s">
        <v>61</v>
      </c>
      <c r="D117" s="5" t="s">
        <v>145</v>
      </c>
      <c r="E117" s="5" t="s">
        <v>65</v>
      </c>
      <c r="F117" s="5" t="s">
        <v>44</v>
      </c>
      <c r="G117" s="3">
        <v>3.0</v>
      </c>
      <c r="H117" s="8">
        <v>320.0</v>
      </c>
      <c r="I117" s="9">
        <v>0.1</v>
      </c>
      <c r="J117" s="8">
        <v>30.0</v>
      </c>
      <c r="K117" s="5" t="s">
        <v>87</v>
      </c>
      <c r="L117" s="10">
        <v>11.4</v>
      </c>
      <c r="M117" s="3">
        <v>50.0</v>
      </c>
      <c r="N117" s="3">
        <v>3.0</v>
      </c>
      <c r="O117" s="13">
        <f t="shared" si="1"/>
        <v>318</v>
      </c>
    </row>
    <row r="118" ht="15.75" customHeight="1">
      <c r="A118" s="5" t="s">
        <v>237</v>
      </c>
      <c r="B118" s="7">
        <v>46267.0</v>
      </c>
      <c r="C118" s="5" t="s">
        <v>61</v>
      </c>
      <c r="D118" s="5" t="s">
        <v>38</v>
      </c>
      <c r="E118" s="5" t="s">
        <v>65</v>
      </c>
      <c r="F118" s="5" t="s">
        <v>44</v>
      </c>
      <c r="G118" s="3">
        <v>2.0</v>
      </c>
      <c r="H118" s="8">
        <v>550.0</v>
      </c>
      <c r="I118" s="9">
        <v>0.05</v>
      </c>
      <c r="J118" s="8">
        <v>0.0</v>
      </c>
      <c r="K118" s="5" t="s">
        <v>76</v>
      </c>
      <c r="L118" s="10">
        <v>0.9</v>
      </c>
      <c r="M118" s="3">
        <v>16.0</v>
      </c>
      <c r="N118" s="3">
        <v>5.0</v>
      </c>
      <c r="O118" s="13">
        <f t="shared" si="1"/>
        <v>522.5</v>
      </c>
    </row>
    <row r="119" ht="15.75" customHeight="1">
      <c r="A119" s="5" t="s">
        <v>238</v>
      </c>
      <c r="B119" s="7">
        <v>46267.0</v>
      </c>
      <c r="C119" s="5" t="s">
        <v>35</v>
      </c>
      <c r="D119" s="5" t="s">
        <v>38</v>
      </c>
      <c r="E119" s="5" t="s">
        <v>41</v>
      </c>
      <c r="F119" s="5" t="s">
        <v>44</v>
      </c>
      <c r="G119" s="3">
        <v>6.0</v>
      </c>
      <c r="H119" s="8">
        <v>4850.0</v>
      </c>
      <c r="I119" s="9">
        <v>0.1</v>
      </c>
      <c r="J119" s="8">
        <v>0.0</v>
      </c>
      <c r="K119" s="5" t="s">
        <v>76</v>
      </c>
      <c r="L119" s="10">
        <v>3.6</v>
      </c>
      <c r="M119" s="3">
        <v>35.0</v>
      </c>
      <c r="N119" s="3">
        <v>4.0</v>
      </c>
      <c r="O119" s="13">
        <f t="shared" si="1"/>
        <v>4365</v>
      </c>
    </row>
    <row r="120" ht="15.75" customHeight="1">
      <c r="A120" s="5" t="s">
        <v>239</v>
      </c>
      <c r="B120" s="7">
        <v>46267.0</v>
      </c>
      <c r="C120" s="5" t="s">
        <v>35</v>
      </c>
      <c r="D120" s="5" t="s">
        <v>124</v>
      </c>
      <c r="E120" s="5" t="s">
        <v>114</v>
      </c>
      <c r="F120" s="5" t="s">
        <v>44</v>
      </c>
      <c r="G120" s="3">
        <v>5.0</v>
      </c>
      <c r="H120" s="8">
        <v>1660.0</v>
      </c>
      <c r="I120" s="9">
        <v>0.1</v>
      </c>
      <c r="J120" s="8">
        <v>0.0</v>
      </c>
      <c r="K120" s="5" t="s">
        <v>76</v>
      </c>
      <c r="L120" s="10">
        <v>10.5</v>
      </c>
      <c r="M120" s="3">
        <v>48.0</v>
      </c>
      <c r="N120" s="3">
        <v>4.0</v>
      </c>
      <c r="O120" s="13">
        <f t="shared" si="1"/>
        <v>1494</v>
      </c>
    </row>
    <row r="121" ht="15.75" customHeight="1">
      <c r="A121" s="5" t="s">
        <v>240</v>
      </c>
      <c r="B121" s="7">
        <v>46268.0</v>
      </c>
      <c r="C121" s="5" t="s">
        <v>61</v>
      </c>
      <c r="D121" s="5" t="s">
        <v>38</v>
      </c>
      <c r="E121" s="5" t="s">
        <v>41</v>
      </c>
      <c r="F121" s="5" t="s">
        <v>44</v>
      </c>
      <c r="G121" s="3">
        <v>2.0</v>
      </c>
      <c r="H121" s="8">
        <v>520.0</v>
      </c>
      <c r="I121" s="9">
        <v>0.2</v>
      </c>
      <c r="J121" s="8">
        <v>0.0</v>
      </c>
      <c r="K121" s="5" t="s">
        <v>76</v>
      </c>
      <c r="L121" s="10">
        <v>6.9</v>
      </c>
      <c r="M121" s="3">
        <v>39.0</v>
      </c>
      <c r="N121" s="3">
        <v>3.0</v>
      </c>
      <c r="O121" s="13">
        <f t="shared" si="1"/>
        <v>416</v>
      </c>
    </row>
    <row r="122" ht="15.75" customHeight="1">
      <c r="A122" s="5" t="s">
        <v>241</v>
      </c>
      <c r="B122" s="7">
        <v>46269.0</v>
      </c>
      <c r="C122" s="5" t="s">
        <v>121</v>
      </c>
      <c r="D122" s="5" t="s">
        <v>124</v>
      </c>
      <c r="E122" s="5" t="s">
        <v>65</v>
      </c>
      <c r="F122" s="5" t="s">
        <v>44</v>
      </c>
      <c r="G122" s="3">
        <v>5.0</v>
      </c>
      <c r="H122" s="8">
        <v>1710.0</v>
      </c>
      <c r="I122" s="9">
        <v>0.05</v>
      </c>
      <c r="J122" s="8">
        <v>0.0</v>
      </c>
      <c r="K122" s="5" t="s">
        <v>87</v>
      </c>
      <c r="L122" s="10">
        <v>11.8</v>
      </c>
      <c r="M122" s="3">
        <v>56.0</v>
      </c>
      <c r="N122" s="3">
        <v>4.0</v>
      </c>
      <c r="O122" s="13">
        <f t="shared" si="1"/>
        <v>1624.5</v>
      </c>
    </row>
    <row r="123" ht="15.75" customHeight="1">
      <c r="A123" s="5" t="s">
        <v>242</v>
      </c>
      <c r="B123" s="7">
        <v>46269.0</v>
      </c>
      <c r="C123" s="5" t="s">
        <v>35</v>
      </c>
      <c r="D123" s="5" t="s">
        <v>118</v>
      </c>
      <c r="E123" s="5" t="s">
        <v>41</v>
      </c>
      <c r="F123" s="5" t="s">
        <v>110</v>
      </c>
      <c r="G123" s="3">
        <v>2.0</v>
      </c>
      <c r="H123" s="8">
        <v>410.0</v>
      </c>
      <c r="I123" s="9">
        <v>0.1</v>
      </c>
      <c r="J123" s="8">
        <v>0.0</v>
      </c>
      <c r="K123" s="5" t="s">
        <v>111</v>
      </c>
      <c r="L123" s="10">
        <v>6.1</v>
      </c>
      <c r="M123" s="3">
        <v>46.0</v>
      </c>
      <c r="N123" s="3">
        <v>4.0</v>
      </c>
      <c r="O123" s="13">
        <f t="shared" si="1"/>
        <v>369</v>
      </c>
    </row>
    <row r="124" ht="15.75" customHeight="1">
      <c r="A124" s="5" t="s">
        <v>243</v>
      </c>
      <c r="B124" s="7">
        <v>46269.0</v>
      </c>
      <c r="C124" s="5" t="s">
        <v>61</v>
      </c>
      <c r="D124" s="5" t="s">
        <v>124</v>
      </c>
      <c r="E124" s="5" t="s">
        <v>41</v>
      </c>
      <c r="F124" s="5" t="s">
        <v>44</v>
      </c>
      <c r="G124" s="3">
        <v>2.0</v>
      </c>
      <c r="H124" s="8">
        <v>750.0</v>
      </c>
      <c r="I124" s="9">
        <v>0.15</v>
      </c>
      <c r="J124" s="8">
        <v>0.0</v>
      </c>
      <c r="K124" s="5" t="s">
        <v>76</v>
      </c>
      <c r="L124" s="10">
        <v>2.4</v>
      </c>
      <c r="M124" s="3">
        <v>24.0</v>
      </c>
      <c r="N124" s="3">
        <v>5.0</v>
      </c>
      <c r="O124" s="13">
        <f t="shared" si="1"/>
        <v>637.5</v>
      </c>
    </row>
    <row r="125" ht="15.75" customHeight="1">
      <c r="A125" s="5" t="s">
        <v>244</v>
      </c>
      <c r="B125" s="7">
        <v>46269.0</v>
      </c>
      <c r="C125" s="5" t="s">
        <v>61</v>
      </c>
      <c r="D125" s="5" t="s">
        <v>113</v>
      </c>
      <c r="E125" s="5" t="s">
        <v>41</v>
      </c>
      <c r="F125" s="5" t="s">
        <v>44</v>
      </c>
      <c r="G125" s="3">
        <v>2.0</v>
      </c>
      <c r="H125" s="8">
        <v>500.0</v>
      </c>
      <c r="I125" s="9">
        <v>0.1</v>
      </c>
      <c r="J125" s="8">
        <v>0.0</v>
      </c>
      <c r="K125" s="5" t="s">
        <v>87</v>
      </c>
      <c r="L125" s="10">
        <v>8.4</v>
      </c>
      <c r="M125" s="3">
        <v>40.0</v>
      </c>
      <c r="N125" s="3">
        <v>4.0</v>
      </c>
      <c r="O125" s="13">
        <f t="shared" si="1"/>
        <v>450</v>
      </c>
    </row>
    <row r="126" ht="15.75" customHeight="1">
      <c r="A126" s="5" t="s">
        <v>245</v>
      </c>
      <c r="B126" s="7">
        <v>46270.0</v>
      </c>
      <c r="C126" s="5" t="s">
        <v>142</v>
      </c>
      <c r="D126" s="5" t="s">
        <v>145</v>
      </c>
      <c r="E126" s="5" t="s">
        <v>65</v>
      </c>
      <c r="F126" s="5" t="s">
        <v>44</v>
      </c>
      <c r="G126" s="3">
        <v>2.0</v>
      </c>
      <c r="H126" s="8">
        <v>220.0</v>
      </c>
      <c r="I126" s="9">
        <v>0.0</v>
      </c>
      <c r="J126" s="8">
        <v>40.0</v>
      </c>
      <c r="K126" s="5" t="s">
        <v>111</v>
      </c>
      <c r="L126" s="10">
        <v>8.9</v>
      </c>
      <c r="M126" s="3">
        <v>53.0</v>
      </c>
      <c r="N126" s="3">
        <v>4.0</v>
      </c>
      <c r="O126" s="13">
        <f t="shared" si="1"/>
        <v>260</v>
      </c>
    </row>
    <row r="127" ht="15.75" customHeight="1">
      <c r="A127" s="5" t="s">
        <v>246</v>
      </c>
      <c r="B127" s="7">
        <v>46272.0</v>
      </c>
      <c r="C127" s="5" t="s">
        <v>61</v>
      </c>
      <c r="D127" s="5" t="s">
        <v>132</v>
      </c>
      <c r="E127" s="5" t="s">
        <v>41</v>
      </c>
      <c r="F127" s="5" t="s">
        <v>44</v>
      </c>
      <c r="G127" s="3">
        <v>2.0</v>
      </c>
      <c r="H127" s="8">
        <v>400.0</v>
      </c>
      <c r="I127" s="9">
        <v>0.1</v>
      </c>
      <c r="J127" s="8">
        <v>0.0</v>
      </c>
      <c r="K127" s="5" t="s">
        <v>76</v>
      </c>
      <c r="L127" s="10">
        <v>3.0</v>
      </c>
      <c r="M127" s="3">
        <v>25.0</v>
      </c>
      <c r="N127" s="3">
        <v>4.0</v>
      </c>
      <c r="O127" s="13">
        <f t="shared" si="1"/>
        <v>360</v>
      </c>
    </row>
    <row r="128" ht="15.75" customHeight="1">
      <c r="A128" s="5" t="s">
        <v>247</v>
      </c>
      <c r="B128" s="7">
        <v>46272.0</v>
      </c>
      <c r="C128" s="5" t="s">
        <v>142</v>
      </c>
      <c r="D128" s="5" t="s">
        <v>118</v>
      </c>
      <c r="E128" s="5" t="s">
        <v>65</v>
      </c>
      <c r="F128" s="5" t="s">
        <v>44</v>
      </c>
      <c r="G128" s="3">
        <v>3.0</v>
      </c>
      <c r="H128" s="8">
        <v>420.0</v>
      </c>
      <c r="I128" s="9">
        <v>0.0</v>
      </c>
      <c r="J128" s="8">
        <v>40.0</v>
      </c>
      <c r="K128" s="5" t="s">
        <v>87</v>
      </c>
      <c r="L128" s="10">
        <v>1.2</v>
      </c>
      <c r="M128" s="3">
        <v>23.0</v>
      </c>
      <c r="N128" s="3">
        <v>5.0</v>
      </c>
      <c r="O128" s="13">
        <f t="shared" si="1"/>
        <v>460</v>
      </c>
    </row>
    <row r="129" ht="15.75" customHeight="1">
      <c r="A129" s="5" t="s">
        <v>248</v>
      </c>
      <c r="B129" s="7">
        <v>46272.0</v>
      </c>
      <c r="C129" s="5" t="s">
        <v>35</v>
      </c>
      <c r="D129" s="5" t="s">
        <v>124</v>
      </c>
      <c r="E129" s="5" t="s">
        <v>114</v>
      </c>
      <c r="F129" s="5" t="s">
        <v>110</v>
      </c>
      <c r="G129" s="3">
        <v>2.0</v>
      </c>
      <c r="H129" s="8">
        <v>620.0</v>
      </c>
      <c r="I129" s="9">
        <v>0.1</v>
      </c>
      <c r="J129" s="8">
        <v>0.0</v>
      </c>
      <c r="K129" s="5" t="s">
        <v>76</v>
      </c>
      <c r="L129" s="10">
        <v>3.9</v>
      </c>
      <c r="M129" s="3">
        <v>29.0</v>
      </c>
      <c r="N129" s="3">
        <v>5.0</v>
      </c>
      <c r="O129" s="13">
        <f t="shared" si="1"/>
        <v>558</v>
      </c>
    </row>
    <row r="130" ht="15.75" customHeight="1">
      <c r="A130" s="5" t="s">
        <v>249</v>
      </c>
      <c r="B130" s="7">
        <v>46272.0</v>
      </c>
      <c r="C130" s="5" t="s">
        <v>117</v>
      </c>
      <c r="D130" s="5" t="s">
        <v>118</v>
      </c>
      <c r="E130" s="5" t="s">
        <v>114</v>
      </c>
      <c r="F130" s="5" t="s">
        <v>110</v>
      </c>
      <c r="G130" s="3">
        <v>3.0</v>
      </c>
      <c r="H130" s="8">
        <v>520.0</v>
      </c>
      <c r="I130" s="9">
        <v>0.2</v>
      </c>
      <c r="J130" s="8">
        <v>0.0</v>
      </c>
      <c r="K130" s="5" t="s">
        <v>111</v>
      </c>
      <c r="L130" s="10">
        <v>6.8</v>
      </c>
      <c r="M130" s="3">
        <v>35.0</v>
      </c>
      <c r="N130" s="3">
        <v>4.0</v>
      </c>
      <c r="O130" s="13">
        <f t="shared" si="1"/>
        <v>416</v>
      </c>
    </row>
    <row r="131" ht="15.75" customHeight="1">
      <c r="A131" s="5" t="s">
        <v>250</v>
      </c>
      <c r="B131" s="7">
        <v>46272.0</v>
      </c>
      <c r="C131" s="5" t="s">
        <v>121</v>
      </c>
      <c r="D131" s="5" t="s">
        <v>132</v>
      </c>
      <c r="E131" s="5" t="s">
        <v>65</v>
      </c>
      <c r="F131" s="5" t="s">
        <v>44</v>
      </c>
      <c r="G131" s="3">
        <v>1.0</v>
      </c>
      <c r="H131" s="8">
        <v>180.0</v>
      </c>
      <c r="I131" s="9">
        <v>0.05</v>
      </c>
      <c r="J131" s="8">
        <v>40.0</v>
      </c>
      <c r="K131" s="5" t="s">
        <v>76</v>
      </c>
      <c r="L131" s="10">
        <v>6.0</v>
      </c>
      <c r="M131" s="3">
        <v>43.0</v>
      </c>
      <c r="N131" s="3">
        <v>4.0</v>
      </c>
      <c r="O131" s="13">
        <f t="shared" si="1"/>
        <v>211</v>
      </c>
    </row>
    <row r="132" ht="15.75" customHeight="1">
      <c r="A132" s="5" t="s">
        <v>251</v>
      </c>
      <c r="B132" s="7">
        <v>46273.0</v>
      </c>
      <c r="C132" s="5" t="s">
        <v>121</v>
      </c>
      <c r="D132" s="5" t="s">
        <v>38</v>
      </c>
      <c r="E132" s="5" t="s">
        <v>41</v>
      </c>
      <c r="F132" s="5" t="s">
        <v>44</v>
      </c>
      <c r="G132" s="3">
        <v>4.0</v>
      </c>
      <c r="H132" s="8">
        <v>1180.0</v>
      </c>
      <c r="I132" s="9">
        <v>0.2</v>
      </c>
      <c r="J132" s="8">
        <v>0.0</v>
      </c>
      <c r="K132" s="5" t="s">
        <v>76</v>
      </c>
      <c r="L132" s="10">
        <v>3.9</v>
      </c>
      <c r="M132" s="3">
        <v>30.0</v>
      </c>
      <c r="N132" s="3">
        <v>5.0</v>
      </c>
      <c r="O132" s="13">
        <f t="shared" si="1"/>
        <v>944</v>
      </c>
    </row>
    <row r="133" ht="15.75" customHeight="1">
      <c r="A133" s="5" t="s">
        <v>252</v>
      </c>
      <c r="B133" s="7">
        <v>46273.0</v>
      </c>
      <c r="C133" s="5" t="s">
        <v>35</v>
      </c>
      <c r="D133" s="5" t="s">
        <v>124</v>
      </c>
      <c r="E133" s="5" t="s">
        <v>114</v>
      </c>
      <c r="F133" s="5" t="s">
        <v>44</v>
      </c>
      <c r="G133" s="3">
        <v>2.0</v>
      </c>
      <c r="H133" s="8">
        <v>600.0</v>
      </c>
      <c r="I133" s="9">
        <v>0.1</v>
      </c>
      <c r="J133" s="8">
        <v>0.0</v>
      </c>
      <c r="K133" s="5" t="s">
        <v>76</v>
      </c>
      <c r="L133" s="10">
        <v>8.8</v>
      </c>
      <c r="M133" s="3">
        <v>49.0</v>
      </c>
      <c r="N133" s="3">
        <v>4.0</v>
      </c>
      <c r="O133" s="13">
        <f t="shared" si="1"/>
        <v>540</v>
      </c>
    </row>
    <row r="134" ht="15.75" customHeight="1">
      <c r="A134" s="5" t="s">
        <v>253</v>
      </c>
      <c r="B134" s="7">
        <v>46274.0</v>
      </c>
      <c r="C134" s="5" t="s">
        <v>142</v>
      </c>
      <c r="D134" s="5" t="s">
        <v>118</v>
      </c>
      <c r="E134" s="5" t="s">
        <v>41</v>
      </c>
      <c r="F134" s="5" t="s">
        <v>44</v>
      </c>
      <c r="G134" s="3">
        <v>5.0</v>
      </c>
      <c r="H134" s="8">
        <v>890.0</v>
      </c>
      <c r="I134" s="9">
        <v>0.2</v>
      </c>
      <c r="J134" s="8">
        <v>0.0</v>
      </c>
      <c r="K134" s="5" t="s">
        <v>111</v>
      </c>
      <c r="L134" s="10">
        <v>7.1</v>
      </c>
      <c r="M134" s="3">
        <v>38.0</v>
      </c>
      <c r="N134" s="3">
        <v>4.0</v>
      </c>
      <c r="O134" s="13">
        <f t="shared" si="1"/>
        <v>712</v>
      </c>
    </row>
    <row r="135" ht="15.75" customHeight="1">
      <c r="A135" s="5" t="s">
        <v>254</v>
      </c>
      <c r="B135" s="7">
        <v>46274.0</v>
      </c>
      <c r="C135" s="5" t="s">
        <v>61</v>
      </c>
      <c r="D135" s="5" t="s">
        <v>118</v>
      </c>
      <c r="E135" s="5" t="s">
        <v>114</v>
      </c>
      <c r="F135" s="5" t="s">
        <v>110</v>
      </c>
      <c r="G135" s="3">
        <v>1.0</v>
      </c>
      <c r="H135" s="8">
        <v>160.0</v>
      </c>
      <c r="I135" s="9">
        <v>0.1</v>
      </c>
      <c r="J135" s="8">
        <v>30.0</v>
      </c>
      <c r="K135" s="5" t="s">
        <v>87</v>
      </c>
      <c r="L135" s="10">
        <v>7.6</v>
      </c>
      <c r="M135" s="3">
        <v>40.0</v>
      </c>
      <c r="N135" s="3">
        <v>5.0</v>
      </c>
      <c r="O135" s="13">
        <f t="shared" si="1"/>
        <v>174</v>
      </c>
    </row>
    <row r="136" ht="15.75" customHeight="1">
      <c r="A136" s="5" t="s">
        <v>255</v>
      </c>
      <c r="B136" s="7">
        <v>46274.0</v>
      </c>
      <c r="C136" s="5" t="s">
        <v>142</v>
      </c>
      <c r="D136" s="5" t="s">
        <v>38</v>
      </c>
      <c r="E136" s="5" t="s">
        <v>65</v>
      </c>
      <c r="F136" s="5" t="s">
        <v>44</v>
      </c>
      <c r="G136" s="3">
        <v>4.0</v>
      </c>
      <c r="H136" s="8">
        <v>1030.0</v>
      </c>
      <c r="I136" s="9">
        <v>0.1</v>
      </c>
      <c r="J136" s="8">
        <v>0.0</v>
      </c>
      <c r="K136" s="5" t="s">
        <v>87</v>
      </c>
      <c r="L136" s="10">
        <v>11.0</v>
      </c>
      <c r="M136" s="3">
        <v>57.0</v>
      </c>
      <c r="N136" s="3">
        <v>4.0</v>
      </c>
      <c r="O136" s="13">
        <f t="shared" si="1"/>
        <v>927</v>
      </c>
    </row>
    <row r="137" ht="15.75" customHeight="1">
      <c r="A137" s="5" t="s">
        <v>256</v>
      </c>
      <c r="B137" s="7">
        <v>46274.0</v>
      </c>
      <c r="C137" s="5" t="s">
        <v>121</v>
      </c>
      <c r="D137" s="5" t="s">
        <v>113</v>
      </c>
      <c r="E137" s="5" t="s">
        <v>65</v>
      </c>
      <c r="F137" s="5" t="s">
        <v>44</v>
      </c>
      <c r="G137" s="3">
        <v>2.0</v>
      </c>
      <c r="H137" s="8">
        <v>390.0</v>
      </c>
      <c r="I137" s="9">
        <v>0.05</v>
      </c>
      <c r="J137" s="8">
        <v>30.0</v>
      </c>
      <c r="K137" s="5" t="s">
        <v>111</v>
      </c>
      <c r="L137" s="10">
        <v>6.5</v>
      </c>
      <c r="M137" s="3">
        <v>48.0</v>
      </c>
      <c r="N137" s="3">
        <v>3.0</v>
      </c>
      <c r="O137" s="13">
        <f t="shared" si="1"/>
        <v>400.5</v>
      </c>
    </row>
    <row r="138" ht="15.75" customHeight="1">
      <c r="A138" s="5" t="s">
        <v>257</v>
      </c>
      <c r="B138" s="7">
        <v>46275.0</v>
      </c>
      <c r="C138" s="5" t="s">
        <v>35</v>
      </c>
      <c r="D138" s="5" t="s">
        <v>124</v>
      </c>
      <c r="E138" s="5" t="s">
        <v>114</v>
      </c>
      <c r="F138" s="5" t="s">
        <v>110</v>
      </c>
      <c r="G138" s="3">
        <v>6.0</v>
      </c>
      <c r="H138" s="8">
        <v>1550.0</v>
      </c>
      <c r="I138" s="9">
        <v>0.0</v>
      </c>
      <c r="J138" s="8">
        <v>0.0</v>
      </c>
      <c r="K138" s="5" t="s">
        <v>127</v>
      </c>
      <c r="L138" s="10">
        <v>6.8</v>
      </c>
      <c r="M138" s="3">
        <v>41.0</v>
      </c>
      <c r="N138" s="3">
        <v>5.0</v>
      </c>
      <c r="O138" s="13">
        <f t="shared" si="1"/>
        <v>1550</v>
      </c>
    </row>
    <row r="139" ht="15.75" customHeight="1">
      <c r="A139" s="5" t="s">
        <v>258</v>
      </c>
      <c r="B139" s="7">
        <v>46275.0</v>
      </c>
      <c r="C139" s="5" t="s">
        <v>61</v>
      </c>
      <c r="D139" s="5" t="s">
        <v>113</v>
      </c>
      <c r="E139" s="5" t="s">
        <v>65</v>
      </c>
      <c r="F139" s="5" t="s">
        <v>44</v>
      </c>
      <c r="G139" s="3">
        <v>2.0</v>
      </c>
      <c r="H139" s="8">
        <v>460.0</v>
      </c>
      <c r="I139" s="9">
        <v>0.0</v>
      </c>
      <c r="J139" s="8">
        <v>50.0</v>
      </c>
      <c r="K139" s="5" t="s">
        <v>127</v>
      </c>
      <c r="L139" s="10">
        <v>1.5</v>
      </c>
      <c r="M139" s="3">
        <v>21.0</v>
      </c>
      <c r="N139" s="3">
        <v>5.0</v>
      </c>
      <c r="O139" s="13">
        <f t="shared" si="1"/>
        <v>510</v>
      </c>
    </row>
    <row r="140" ht="15.75" customHeight="1">
      <c r="A140" s="5" t="s">
        <v>259</v>
      </c>
      <c r="B140" s="7">
        <v>46275.0</v>
      </c>
      <c r="C140" s="5" t="s">
        <v>35</v>
      </c>
      <c r="D140" s="5" t="s">
        <v>38</v>
      </c>
      <c r="E140" s="5" t="s">
        <v>114</v>
      </c>
      <c r="F140" s="5" t="s">
        <v>44</v>
      </c>
      <c r="G140" s="3">
        <v>2.0</v>
      </c>
      <c r="H140" s="8">
        <v>550.0</v>
      </c>
      <c r="I140" s="9">
        <v>0.1</v>
      </c>
      <c r="J140" s="8">
        <v>0.0</v>
      </c>
      <c r="K140" s="5" t="s">
        <v>111</v>
      </c>
      <c r="L140" s="10">
        <v>9.3</v>
      </c>
      <c r="M140" s="3">
        <v>44.0</v>
      </c>
      <c r="N140" s="3">
        <v>3.0</v>
      </c>
      <c r="O140" s="13">
        <f t="shared" si="1"/>
        <v>495</v>
      </c>
    </row>
    <row r="141" ht="15.75" customHeight="1">
      <c r="A141" s="5" t="s">
        <v>260</v>
      </c>
      <c r="B141" s="7">
        <v>46275.0</v>
      </c>
      <c r="C141" s="5" t="s">
        <v>121</v>
      </c>
      <c r="D141" s="5" t="s">
        <v>145</v>
      </c>
      <c r="E141" s="5" t="s">
        <v>114</v>
      </c>
      <c r="F141" s="5" t="s">
        <v>44</v>
      </c>
      <c r="G141" s="3">
        <v>2.0</v>
      </c>
      <c r="H141" s="8">
        <v>260.0</v>
      </c>
      <c r="I141" s="9">
        <v>0.0</v>
      </c>
      <c r="J141" s="8">
        <v>40.0</v>
      </c>
      <c r="K141" s="5" t="s">
        <v>76</v>
      </c>
      <c r="L141" s="10">
        <v>0.5</v>
      </c>
      <c r="M141" s="3">
        <v>23.0</v>
      </c>
      <c r="N141" s="3">
        <v>5.0</v>
      </c>
      <c r="O141" s="13">
        <f t="shared" si="1"/>
        <v>300</v>
      </c>
    </row>
    <row r="142" ht="15.75" customHeight="1">
      <c r="A142" s="5" t="s">
        <v>261</v>
      </c>
      <c r="B142" s="7">
        <v>46275.0</v>
      </c>
      <c r="C142" s="5" t="s">
        <v>35</v>
      </c>
      <c r="D142" s="5" t="s">
        <v>38</v>
      </c>
      <c r="E142" s="5" t="s">
        <v>65</v>
      </c>
      <c r="F142" s="5" t="s">
        <v>44</v>
      </c>
      <c r="G142" s="3">
        <v>1.0</v>
      </c>
      <c r="H142" s="8">
        <v>280.0</v>
      </c>
      <c r="I142" s="9">
        <v>0.05</v>
      </c>
      <c r="J142" s="8">
        <v>40.0</v>
      </c>
      <c r="K142" s="5" t="s">
        <v>76</v>
      </c>
      <c r="L142" s="10">
        <v>2.6</v>
      </c>
      <c r="M142" s="3">
        <v>26.0</v>
      </c>
      <c r="N142" s="3">
        <v>5.0</v>
      </c>
      <c r="O142" s="13">
        <f t="shared" si="1"/>
        <v>306</v>
      </c>
    </row>
    <row r="143" ht="15.75" customHeight="1">
      <c r="A143" s="5" t="s">
        <v>262</v>
      </c>
      <c r="B143" s="7">
        <v>46277.0</v>
      </c>
      <c r="C143" s="5" t="s">
        <v>117</v>
      </c>
      <c r="D143" s="5" t="s">
        <v>38</v>
      </c>
      <c r="E143" s="5" t="s">
        <v>114</v>
      </c>
      <c r="F143" s="5" t="s">
        <v>44</v>
      </c>
      <c r="G143" s="3">
        <v>1.0</v>
      </c>
      <c r="H143" s="8">
        <v>240.0</v>
      </c>
      <c r="I143" s="9">
        <v>0.2</v>
      </c>
      <c r="J143" s="8">
        <v>50.0</v>
      </c>
      <c r="K143" s="5" t="s">
        <v>127</v>
      </c>
      <c r="L143" s="10">
        <v>6.0</v>
      </c>
      <c r="M143" s="3">
        <v>30.0</v>
      </c>
      <c r="N143" s="3">
        <v>4.0</v>
      </c>
      <c r="O143" s="13">
        <f t="shared" si="1"/>
        <v>242</v>
      </c>
    </row>
    <row r="144" ht="15.75" customHeight="1">
      <c r="A144" s="5" t="s">
        <v>263</v>
      </c>
      <c r="B144" s="7">
        <v>46277.0</v>
      </c>
      <c r="C144" s="5" t="s">
        <v>142</v>
      </c>
      <c r="D144" s="5" t="s">
        <v>132</v>
      </c>
      <c r="E144" s="5" t="s">
        <v>65</v>
      </c>
      <c r="F144" s="5" t="s">
        <v>44</v>
      </c>
      <c r="G144" s="3">
        <v>6.0</v>
      </c>
      <c r="H144" s="8">
        <v>1200.0</v>
      </c>
      <c r="I144" s="9">
        <v>0.05</v>
      </c>
      <c r="J144" s="8">
        <v>0.0</v>
      </c>
      <c r="K144" s="5" t="s">
        <v>76</v>
      </c>
      <c r="L144" s="10">
        <v>8.8</v>
      </c>
      <c r="M144" s="3">
        <v>44.0</v>
      </c>
      <c r="N144" s="3">
        <v>4.0</v>
      </c>
      <c r="O144" s="13">
        <f t="shared" si="1"/>
        <v>1140</v>
      </c>
    </row>
    <row r="145" ht="15.75" customHeight="1">
      <c r="A145" s="5" t="s">
        <v>264</v>
      </c>
      <c r="B145" s="7">
        <v>46277.0</v>
      </c>
      <c r="C145" s="5" t="s">
        <v>121</v>
      </c>
      <c r="D145" s="5" t="s">
        <v>38</v>
      </c>
      <c r="E145" s="5" t="s">
        <v>65</v>
      </c>
      <c r="F145" s="5" t="s">
        <v>44</v>
      </c>
      <c r="G145" s="3">
        <v>4.0</v>
      </c>
      <c r="H145" s="8">
        <v>1110.0</v>
      </c>
      <c r="I145" s="9">
        <v>0.0</v>
      </c>
      <c r="J145" s="8">
        <v>0.0</v>
      </c>
      <c r="K145" s="5" t="s">
        <v>76</v>
      </c>
      <c r="L145" s="10">
        <v>1.2</v>
      </c>
      <c r="M145" s="3">
        <v>21.0</v>
      </c>
      <c r="N145" s="3">
        <v>5.0</v>
      </c>
      <c r="O145" s="13">
        <f t="shared" si="1"/>
        <v>1110</v>
      </c>
    </row>
    <row r="146" ht="15.75" customHeight="1">
      <c r="A146" s="5" t="s">
        <v>265</v>
      </c>
      <c r="B146" s="7">
        <v>46277.0</v>
      </c>
      <c r="C146" s="5" t="s">
        <v>61</v>
      </c>
      <c r="D146" s="5" t="s">
        <v>38</v>
      </c>
      <c r="E146" s="5" t="s">
        <v>114</v>
      </c>
      <c r="F146" s="5" t="s">
        <v>110</v>
      </c>
      <c r="G146" s="3">
        <v>2.0</v>
      </c>
      <c r="H146" s="8">
        <v>520.0</v>
      </c>
      <c r="I146" s="9">
        <v>0.2</v>
      </c>
      <c r="J146" s="8">
        <v>0.0</v>
      </c>
      <c r="K146" s="5" t="s">
        <v>87</v>
      </c>
      <c r="L146" s="10">
        <v>11.8</v>
      </c>
      <c r="M146" s="3">
        <v>55.0</v>
      </c>
      <c r="N146" s="3">
        <v>3.0</v>
      </c>
      <c r="O146" s="13">
        <f t="shared" si="1"/>
        <v>416</v>
      </c>
    </row>
    <row r="147" ht="15.75" customHeight="1">
      <c r="A147" s="5" t="s">
        <v>266</v>
      </c>
      <c r="B147" s="7">
        <v>46277.0</v>
      </c>
      <c r="C147" s="5" t="s">
        <v>121</v>
      </c>
      <c r="D147" s="5" t="s">
        <v>124</v>
      </c>
      <c r="E147" s="5" t="s">
        <v>65</v>
      </c>
      <c r="F147" s="5" t="s">
        <v>44</v>
      </c>
      <c r="G147" s="3">
        <v>1.0</v>
      </c>
      <c r="H147" s="8">
        <v>260.0</v>
      </c>
      <c r="I147" s="9">
        <v>0.1</v>
      </c>
      <c r="J147" s="8">
        <v>50.0</v>
      </c>
      <c r="K147" s="5" t="s">
        <v>87</v>
      </c>
      <c r="L147" s="10">
        <v>11.0</v>
      </c>
      <c r="M147" s="3">
        <v>56.0</v>
      </c>
      <c r="N147" s="3">
        <v>3.0</v>
      </c>
      <c r="O147" s="13">
        <f t="shared" si="1"/>
        <v>284</v>
      </c>
    </row>
    <row r="148" ht="15.75" customHeight="1">
      <c r="A148" s="5" t="s">
        <v>267</v>
      </c>
      <c r="B148" s="7">
        <v>46278.0</v>
      </c>
      <c r="C148" s="5" t="s">
        <v>61</v>
      </c>
      <c r="D148" s="5" t="s">
        <v>132</v>
      </c>
      <c r="E148" s="5" t="s">
        <v>114</v>
      </c>
      <c r="F148" s="5" t="s">
        <v>44</v>
      </c>
      <c r="G148" s="3">
        <v>3.0</v>
      </c>
      <c r="H148" s="8">
        <v>610.0</v>
      </c>
      <c r="I148" s="9">
        <v>0.2</v>
      </c>
      <c r="J148" s="8">
        <v>0.0</v>
      </c>
      <c r="K148" s="5" t="s">
        <v>111</v>
      </c>
      <c r="L148" s="10">
        <v>9.5</v>
      </c>
      <c r="M148" s="3">
        <v>40.0</v>
      </c>
      <c r="N148" s="3">
        <v>3.0</v>
      </c>
      <c r="O148" s="13">
        <f t="shared" si="1"/>
        <v>488</v>
      </c>
    </row>
    <row r="149" ht="15.75" customHeight="1">
      <c r="A149" s="5" t="s">
        <v>268</v>
      </c>
      <c r="B149" s="7">
        <v>46278.0</v>
      </c>
      <c r="C149" s="5" t="s">
        <v>142</v>
      </c>
      <c r="D149" s="5" t="s">
        <v>38</v>
      </c>
      <c r="E149" s="5" t="s">
        <v>65</v>
      </c>
      <c r="F149" s="5" t="s">
        <v>44</v>
      </c>
      <c r="G149" s="3">
        <v>3.0</v>
      </c>
      <c r="H149" s="8">
        <v>780.0</v>
      </c>
      <c r="I149" s="9">
        <v>0.0</v>
      </c>
      <c r="J149" s="8">
        <v>0.0</v>
      </c>
      <c r="K149" s="5" t="s">
        <v>76</v>
      </c>
      <c r="L149" s="10">
        <v>1.3</v>
      </c>
      <c r="M149" s="3">
        <v>28.0</v>
      </c>
      <c r="N149" s="3">
        <v>4.0</v>
      </c>
      <c r="O149" s="13">
        <f t="shared" si="1"/>
        <v>780</v>
      </c>
    </row>
    <row r="150" ht="15.75" customHeight="1">
      <c r="A150" s="5" t="s">
        <v>269</v>
      </c>
      <c r="B150" s="7">
        <v>46278.0</v>
      </c>
      <c r="C150" s="5" t="s">
        <v>35</v>
      </c>
      <c r="D150" s="5" t="s">
        <v>38</v>
      </c>
      <c r="E150" s="5" t="s">
        <v>41</v>
      </c>
      <c r="F150" s="5" t="s">
        <v>44</v>
      </c>
      <c r="G150" s="3">
        <v>5.0</v>
      </c>
      <c r="H150" s="8">
        <v>1660.0</v>
      </c>
      <c r="I150" s="9">
        <v>0.1</v>
      </c>
      <c r="J150" s="8">
        <v>0.0</v>
      </c>
      <c r="K150" s="5" t="s">
        <v>111</v>
      </c>
      <c r="L150" s="10">
        <v>2.5</v>
      </c>
      <c r="M150" s="3">
        <v>21.0</v>
      </c>
      <c r="N150" s="3">
        <v>5.0</v>
      </c>
      <c r="O150" s="13">
        <f t="shared" si="1"/>
        <v>1494</v>
      </c>
    </row>
    <row r="151" ht="15.75" customHeight="1">
      <c r="A151" s="5" t="s">
        <v>270</v>
      </c>
      <c r="B151" s="7">
        <v>46279.0</v>
      </c>
      <c r="C151" s="5" t="s">
        <v>61</v>
      </c>
      <c r="D151" s="5" t="s">
        <v>124</v>
      </c>
      <c r="E151" s="5" t="s">
        <v>114</v>
      </c>
      <c r="F151" s="5" t="s">
        <v>44</v>
      </c>
      <c r="G151" s="3">
        <v>2.0</v>
      </c>
      <c r="H151" s="8">
        <v>570.0</v>
      </c>
      <c r="I151" s="9">
        <v>0.2</v>
      </c>
      <c r="J151" s="8">
        <v>0.0</v>
      </c>
      <c r="K151" s="5" t="s">
        <v>111</v>
      </c>
      <c r="L151" s="10">
        <v>0.8</v>
      </c>
      <c r="M151" s="3">
        <v>11.0</v>
      </c>
      <c r="N151" s="3">
        <v>5.0</v>
      </c>
      <c r="O151" s="13">
        <f t="shared" si="1"/>
        <v>456</v>
      </c>
    </row>
    <row r="152" ht="15.75" customHeight="1">
      <c r="A152" s="5" t="s">
        <v>271</v>
      </c>
      <c r="B152" s="7">
        <v>46279.0</v>
      </c>
      <c r="C152" s="5" t="s">
        <v>117</v>
      </c>
      <c r="D152" s="5" t="s">
        <v>145</v>
      </c>
      <c r="E152" s="5" t="s">
        <v>41</v>
      </c>
      <c r="F152" s="5" t="s">
        <v>44</v>
      </c>
      <c r="G152" s="3">
        <v>2.0</v>
      </c>
      <c r="H152" s="8">
        <v>310.0</v>
      </c>
      <c r="I152" s="9">
        <v>0.1</v>
      </c>
      <c r="J152" s="8">
        <v>0.0</v>
      </c>
      <c r="K152" s="5" t="s">
        <v>127</v>
      </c>
      <c r="L152" s="10">
        <v>11.8</v>
      </c>
      <c r="M152" s="3">
        <v>56.0</v>
      </c>
      <c r="N152" s="3">
        <v>4.0</v>
      </c>
      <c r="O152" s="13">
        <f t="shared" si="1"/>
        <v>279</v>
      </c>
    </row>
    <row r="153" ht="15.75" customHeight="1">
      <c r="A153" s="5" t="s">
        <v>272</v>
      </c>
      <c r="B153" s="7">
        <v>46280.0</v>
      </c>
      <c r="C153" s="5" t="s">
        <v>121</v>
      </c>
      <c r="D153" s="5" t="s">
        <v>38</v>
      </c>
      <c r="E153" s="5" t="s">
        <v>114</v>
      </c>
      <c r="F153" s="5" t="s">
        <v>44</v>
      </c>
      <c r="G153" s="3">
        <v>3.0</v>
      </c>
      <c r="H153" s="8">
        <v>720.0</v>
      </c>
      <c r="I153" s="9">
        <v>0.2</v>
      </c>
      <c r="J153" s="8">
        <v>0.0</v>
      </c>
      <c r="K153" s="5" t="s">
        <v>76</v>
      </c>
      <c r="L153" s="10">
        <v>6.2</v>
      </c>
      <c r="M153" s="3">
        <v>39.0</v>
      </c>
      <c r="N153" s="3">
        <v>5.0</v>
      </c>
      <c r="O153" s="13">
        <f t="shared" si="1"/>
        <v>576</v>
      </c>
    </row>
    <row r="154" ht="15.75" customHeight="1">
      <c r="A154" s="5" t="s">
        <v>273</v>
      </c>
      <c r="B154" s="7">
        <v>46280.0</v>
      </c>
      <c r="C154" s="5" t="s">
        <v>35</v>
      </c>
      <c r="D154" s="5" t="s">
        <v>38</v>
      </c>
      <c r="E154" s="5" t="s">
        <v>65</v>
      </c>
      <c r="F154" s="5" t="s">
        <v>44</v>
      </c>
      <c r="G154" s="3">
        <v>2.0</v>
      </c>
      <c r="H154" s="8">
        <v>470.0</v>
      </c>
      <c r="I154" s="9">
        <v>0.0</v>
      </c>
      <c r="J154" s="8">
        <v>40.0</v>
      </c>
      <c r="K154" s="5" t="s">
        <v>76</v>
      </c>
      <c r="L154" s="10">
        <v>9.3</v>
      </c>
      <c r="M154" s="3">
        <v>50.0</v>
      </c>
      <c r="N154" s="3">
        <v>4.0</v>
      </c>
      <c r="O154" s="13">
        <f t="shared" si="1"/>
        <v>510</v>
      </c>
    </row>
    <row r="155" ht="15.75" customHeight="1">
      <c r="A155" s="5" t="s">
        <v>274</v>
      </c>
      <c r="B155" s="7">
        <v>46280.0</v>
      </c>
      <c r="C155" s="5" t="s">
        <v>61</v>
      </c>
      <c r="D155" s="5" t="s">
        <v>124</v>
      </c>
      <c r="E155" s="5" t="s">
        <v>41</v>
      </c>
      <c r="F155" s="5" t="s">
        <v>44</v>
      </c>
      <c r="G155" s="3">
        <v>1.0</v>
      </c>
      <c r="H155" s="8">
        <v>340.0</v>
      </c>
      <c r="I155" s="9">
        <v>0.1</v>
      </c>
      <c r="J155" s="8">
        <v>0.0</v>
      </c>
      <c r="K155" s="5" t="s">
        <v>76</v>
      </c>
      <c r="L155" s="10">
        <v>4.6</v>
      </c>
      <c r="M155" s="3">
        <v>25.0</v>
      </c>
      <c r="N155" s="3">
        <v>5.0</v>
      </c>
      <c r="O155" s="13">
        <f t="shared" si="1"/>
        <v>306</v>
      </c>
    </row>
    <row r="156" ht="15.75" customHeight="1">
      <c r="A156" s="5" t="s">
        <v>275</v>
      </c>
      <c r="B156" s="7">
        <v>46280.0</v>
      </c>
      <c r="C156" s="5" t="s">
        <v>117</v>
      </c>
      <c r="D156" s="5" t="s">
        <v>118</v>
      </c>
      <c r="E156" s="5" t="s">
        <v>65</v>
      </c>
      <c r="F156" s="5" t="s">
        <v>44</v>
      </c>
      <c r="G156" s="3">
        <v>1.0</v>
      </c>
      <c r="H156" s="8">
        <v>180.0</v>
      </c>
      <c r="I156" s="9">
        <v>0.1</v>
      </c>
      <c r="J156" s="8">
        <v>50.0</v>
      </c>
      <c r="K156" s="5" t="s">
        <v>76</v>
      </c>
      <c r="L156" s="10">
        <v>7.5</v>
      </c>
      <c r="M156" s="3">
        <v>46.0</v>
      </c>
      <c r="N156" s="3">
        <v>3.0</v>
      </c>
      <c r="O156" s="13">
        <f t="shared" si="1"/>
        <v>212</v>
      </c>
    </row>
    <row r="157" ht="15.75" customHeight="1">
      <c r="A157" s="5" t="s">
        <v>276</v>
      </c>
      <c r="B157" s="7">
        <v>46280.0</v>
      </c>
      <c r="C157" s="5" t="s">
        <v>117</v>
      </c>
      <c r="D157" s="5" t="s">
        <v>124</v>
      </c>
      <c r="E157" s="5" t="s">
        <v>65</v>
      </c>
      <c r="F157" s="5" t="s">
        <v>44</v>
      </c>
      <c r="G157" s="3">
        <v>2.0</v>
      </c>
      <c r="H157" s="8">
        <v>580.0</v>
      </c>
      <c r="I157" s="9">
        <v>0.1</v>
      </c>
      <c r="J157" s="8">
        <v>0.0</v>
      </c>
      <c r="K157" s="5" t="s">
        <v>111</v>
      </c>
      <c r="L157" s="10">
        <v>2.3</v>
      </c>
      <c r="M157" s="3">
        <v>24.0</v>
      </c>
      <c r="N157" s="3">
        <v>5.0</v>
      </c>
      <c r="O157" s="13">
        <f t="shared" si="1"/>
        <v>522</v>
      </c>
    </row>
    <row r="158" ht="15.75" customHeight="1">
      <c r="A158" s="5" t="s">
        <v>277</v>
      </c>
      <c r="B158" s="7">
        <v>46281.0</v>
      </c>
      <c r="C158" s="5" t="s">
        <v>61</v>
      </c>
      <c r="D158" s="5" t="s">
        <v>124</v>
      </c>
      <c r="E158" s="5" t="s">
        <v>65</v>
      </c>
      <c r="F158" s="5" t="s">
        <v>44</v>
      </c>
      <c r="G158" s="3">
        <v>4.0</v>
      </c>
      <c r="H158" s="8">
        <v>1340.0</v>
      </c>
      <c r="I158" s="9">
        <v>0.1</v>
      </c>
      <c r="J158" s="8">
        <v>0.0</v>
      </c>
      <c r="K158" s="5" t="s">
        <v>76</v>
      </c>
      <c r="L158" s="10">
        <v>8.6</v>
      </c>
      <c r="M158" s="3">
        <v>34.0</v>
      </c>
      <c r="N158" s="3">
        <v>4.0</v>
      </c>
      <c r="O158" s="13">
        <f t="shared" si="1"/>
        <v>1206</v>
      </c>
    </row>
    <row r="159" ht="15.75" customHeight="1">
      <c r="A159" s="5" t="s">
        <v>278</v>
      </c>
      <c r="B159" s="7">
        <v>46281.0</v>
      </c>
      <c r="C159" s="5" t="s">
        <v>121</v>
      </c>
      <c r="D159" s="5" t="s">
        <v>130</v>
      </c>
      <c r="E159" s="5" t="s">
        <v>65</v>
      </c>
      <c r="F159" s="5" t="s">
        <v>110</v>
      </c>
      <c r="G159" s="3">
        <v>1.0</v>
      </c>
      <c r="H159" s="8">
        <v>140.0</v>
      </c>
      <c r="I159" s="9">
        <v>0.05</v>
      </c>
      <c r="J159" s="8">
        <v>30.0</v>
      </c>
      <c r="K159" s="5" t="s">
        <v>76</v>
      </c>
      <c r="L159" s="10">
        <v>11.7</v>
      </c>
      <c r="M159" s="3">
        <v>60.0</v>
      </c>
      <c r="N159" s="3"/>
      <c r="O159" s="13">
        <f t="shared" si="1"/>
        <v>163</v>
      </c>
    </row>
    <row r="160" ht="15.75" customHeight="1">
      <c r="A160" s="5" t="s">
        <v>279</v>
      </c>
      <c r="B160" s="7">
        <v>46281.0</v>
      </c>
      <c r="C160" s="5" t="s">
        <v>121</v>
      </c>
      <c r="D160" s="5" t="s">
        <v>124</v>
      </c>
      <c r="E160" s="5" t="s">
        <v>41</v>
      </c>
      <c r="F160" s="5" t="s">
        <v>110</v>
      </c>
      <c r="G160" s="3">
        <v>3.0</v>
      </c>
      <c r="H160" s="8">
        <v>1070.0</v>
      </c>
      <c r="I160" s="9">
        <v>0.2</v>
      </c>
      <c r="J160" s="8">
        <v>0.0</v>
      </c>
      <c r="K160" s="5" t="s">
        <v>87</v>
      </c>
      <c r="L160" s="10">
        <v>8.4</v>
      </c>
      <c r="M160" s="3">
        <v>50.0</v>
      </c>
      <c r="N160" s="3">
        <v>3.0</v>
      </c>
      <c r="O160" s="13">
        <f t="shared" si="1"/>
        <v>856</v>
      </c>
    </row>
    <row r="161" ht="15.75" customHeight="1">
      <c r="A161" s="5" t="s">
        <v>280</v>
      </c>
      <c r="B161" s="7">
        <v>46281.0</v>
      </c>
      <c r="C161" s="5" t="s">
        <v>35</v>
      </c>
      <c r="D161" s="5" t="s">
        <v>113</v>
      </c>
      <c r="E161" s="5" t="s">
        <v>65</v>
      </c>
      <c r="F161" s="5" t="s">
        <v>44</v>
      </c>
      <c r="G161" s="3">
        <v>1.0</v>
      </c>
      <c r="H161" s="8">
        <v>230.0</v>
      </c>
      <c r="I161" s="9">
        <v>0.05</v>
      </c>
      <c r="J161" s="8">
        <v>40.0</v>
      </c>
      <c r="K161" s="5" t="s">
        <v>87</v>
      </c>
      <c r="L161" s="10">
        <v>0.7</v>
      </c>
      <c r="M161" s="3">
        <v>32.0</v>
      </c>
      <c r="N161" s="3">
        <v>5.0</v>
      </c>
      <c r="O161" s="13">
        <f t="shared" si="1"/>
        <v>258.5</v>
      </c>
    </row>
    <row r="162" ht="15.75" customHeight="1">
      <c r="A162" s="5" t="s">
        <v>281</v>
      </c>
      <c r="B162" s="7">
        <v>46281.0</v>
      </c>
      <c r="C162" s="5" t="s">
        <v>121</v>
      </c>
      <c r="D162" s="5" t="s">
        <v>113</v>
      </c>
      <c r="E162" s="5" t="s">
        <v>41</v>
      </c>
      <c r="F162" s="5" t="s">
        <v>44</v>
      </c>
      <c r="G162" s="3">
        <v>1.0</v>
      </c>
      <c r="H162" s="8">
        <v>250.0</v>
      </c>
      <c r="I162" s="9">
        <v>0.2</v>
      </c>
      <c r="J162" s="8">
        <v>0.0</v>
      </c>
      <c r="K162" s="5" t="s">
        <v>127</v>
      </c>
      <c r="L162" s="10">
        <v>11.6</v>
      </c>
      <c r="M162" s="3">
        <v>59.0</v>
      </c>
      <c r="N162" s="3">
        <v>3.0</v>
      </c>
      <c r="O162" s="13">
        <f t="shared" si="1"/>
        <v>200</v>
      </c>
    </row>
    <row r="163" ht="15.75" customHeight="1">
      <c r="A163" s="5" t="s">
        <v>282</v>
      </c>
      <c r="B163" s="7">
        <v>46282.0</v>
      </c>
      <c r="C163" s="5" t="s">
        <v>35</v>
      </c>
      <c r="D163" s="5" t="s">
        <v>113</v>
      </c>
      <c r="E163" s="5" t="s">
        <v>41</v>
      </c>
      <c r="F163" s="5" t="s">
        <v>44</v>
      </c>
      <c r="G163" s="3">
        <v>4.0</v>
      </c>
      <c r="H163" s="8">
        <v>960.0</v>
      </c>
      <c r="I163" s="9">
        <v>0.1</v>
      </c>
      <c r="J163" s="8">
        <v>0.0</v>
      </c>
      <c r="K163" s="5" t="s">
        <v>87</v>
      </c>
      <c r="L163" s="10">
        <v>9.6</v>
      </c>
      <c r="M163" s="3">
        <v>49.0</v>
      </c>
      <c r="N163" s="3">
        <v>3.0</v>
      </c>
      <c r="O163" s="13">
        <f t="shared" si="1"/>
        <v>864</v>
      </c>
    </row>
    <row r="164" ht="15.75" customHeight="1">
      <c r="A164" s="5" t="s">
        <v>283</v>
      </c>
      <c r="B164" s="7">
        <v>46282.0</v>
      </c>
      <c r="C164" s="5" t="s">
        <v>35</v>
      </c>
      <c r="D164" s="5" t="s">
        <v>145</v>
      </c>
      <c r="E164" s="5" t="s">
        <v>114</v>
      </c>
      <c r="F164" s="5" t="s">
        <v>44</v>
      </c>
      <c r="G164" s="3">
        <v>3.0</v>
      </c>
      <c r="H164" s="8">
        <v>360.0</v>
      </c>
      <c r="I164" s="9">
        <v>0.0</v>
      </c>
      <c r="J164" s="8">
        <v>50.0</v>
      </c>
      <c r="K164" s="5" t="s">
        <v>127</v>
      </c>
      <c r="L164" s="10">
        <v>6.1</v>
      </c>
      <c r="M164" s="3">
        <v>43.0</v>
      </c>
      <c r="N164" s="3">
        <v>4.0</v>
      </c>
      <c r="O164" s="13">
        <f t="shared" si="1"/>
        <v>410</v>
      </c>
    </row>
    <row r="165" ht="15.75" customHeight="1">
      <c r="A165" s="5" t="s">
        <v>284</v>
      </c>
      <c r="B165" s="7">
        <v>46282.0</v>
      </c>
      <c r="C165" s="5" t="s">
        <v>142</v>
      </c>
      <c r="D165" s="5" t="s">
        <v>118</v>
      </c>
      <c r="E165" s="5" t="s">
        <v>114</v>
      </c>
      <c r="F165" s="5" t="s">
        <v>44</v>
      </c>
      <c r="G165" s="3">
        <v>1.0</v>
      </c>
      <c r="H165" s="8">
        <v>170.0</v>
      </c>
      <c r="I165" s="9">
        <v>0.1</v>
      </c>
      <c r="J165" s="8">
        <v>40.0</v>
      </c>
      <c r="K165" s="5" t="s">
        <v>76</v>
      </c>
      <c r="L165" s="10">
        <v>2.1</v>
      </c>
      <c r="M165" s="3">
        <v>20.0</v>
      </c>
      <c r="N165" s="3">
        <v>5.0</v>
      </c>
      <c r="O165" s="13">
        <f t="shared" si="1"/>
        <v>193</v>
      </c>
    </row>
    <row r="166" ht="15.75" customHeight="1">
      <c r="A166" s="5" t="s">
        <v>285</v>
      </c>
      <c r="B166" s="7">
        <v>46283.0</v>
      </c>
      <c r="C166" s="5" t="s">
        <v>61</v>
      </c>
      <c r="D166" s="5" t="s">
        <v>124</v>
      </c>
      <c r="E166" s="5" t="s">
        <v>65</v>
      </c>
      <c r="F166" s="5" t="s">
        <v>44</v>
      </c>
      <c r="G166" s="3">
        <v>4.0</v>
      </c>
      <c r="H166" s="8">
        <v>1340.0</v>
      </c>
      <c r="I166" s="9">
        <v>0.0</v>
      </c>
      <c r="J166" s="8">
        <v>0.0</v>
      </c>
      <c r="K166" s="5" t="s">
        <v>76</v>
      </c>
      <c r="L166" s="10">
        <v>3.7</v>
      </c>
      <c r="M166" s="3">
        <v>28.0</v>
      </c>
      <c r="N166" s="3">
        <v>4.0</v>
      </c>
      <c r="O166" s="13">
        <f t="shared" si="1"/>
        <v>1340</v>
      </c>
    </row>
    <row r="167" ht="15.75" customHeight="1">
      <c r="A167" s="5" t="s">
        <v>286</v>
      </c>
      <c r="B167" s="7">
        <v>46283.0</v>
      </c>
      <c r="C167" s="5" t="s">
        <v>61</v>
      </c>
      <c r="D167" s="5" t="s">
        <v>113</v>
      </c>
      <c r="E167" s="5" t="s">
        <v>114</v>
      </c>
      <c r="F167" s="5" t="s">
        <v>44</v>
      </c>
      <c r="G167" s="3">
        <v>1.0</v>
      </c>
      <c r="H167" s="8">
        <v>230.0</v>
      </c>
      <c r="I167" s="9">
        <v>0.1</v>
      </c>
      <c r="J167" s="8">
        <v>30.0</v>
      </c>
      <c r="K167" s="5" t="s">
        <v>76</v>
      </c>
      <c r="L167" s="10">
        <v>2.0</v>
      </c>
      <c r="M167" s="3">
        <v>23.0</v>
      </c>
      <c r="N167" s="3"/>
      <c r="O167" s="13">
        <f t="shared" si="1"/>
        <v>237</v>
      </c>
    </row>
    <row r="168" ht="15.75" customHeight="1">
      <c r="A168" s="5" t="s">
        <v>287</v>
      </c>
      <c r="B168" s="7">
        <v>46283.0</v>
      </c>
      <c r="C168" s="5" t="s">
        <v>35</v>
      </c>
      <c r="D168" s="5" t="s">
        <v>130</v>
      </c>
      <c r="E168" s="5" t="s">
        <v>41</v>
      </c>
      <c r="F168" s="5" t="s">
        <v>44</v>
      </c>
      <c r="G168" s="3">
        <v>2.0</v>
      </c>
      <c r="H168" s="8">
        <v>340.0</v>
      </c>
      <c r="I168" s="9">
        <v>0.15</v>
      </c>
      <c r="J168" s="8">
        <v>0.0</v>
      </c>
      <c r="K168" s="5" t="s">
        <v>87</v>
      </c>
      <c r="L168" s="10">
        <v>7.2</v>
      </c>
      <c r="M168" s="3">
        <v>40.0</v>
      </c>
      <c r="N168" s="3">
        <v>5.0</v>
      </c>
      <c r="O168" s="13">
        <f t="shared" si="1"/>
        <v>289</v>
      </c>
    </row>
    <row r="169" ht="15.75" customHeight="1">
      <c r="A169" s="5" t="s">
        <v>288</v>
      </c>
      <c r="B169" s="7">
        <v>46284.0</v>
      </c>
      <c r="C169" s="5" t="s">
        <v>142</v>
      </c>
      <c r="D169" s="5" t="s">
        <v>118</v>
      </c>
      <c r="E169" s="5" t="s">
        <v>41</v>
      </c>
      <c r="F169" s="5" t="s">
        <v>44</v>
      </c>
      <c r="G169" s="3">
        <v>5.0</v>
      </c>
      <c r="H169" s="8">
        <v>970.0</v>
      </c>
      <c r="I169" s="9">
        <v>0.2</v>
      </c>
      <c r="J169" s="8">
        <v>0.0</v>
      </c>
      <c r="K169" s="5" t="s">
        <v>87</v>
      </c>
      <c r="L169" s="10">
        <v>1.5</v>
      </c>
      <c r="M169" s="3">
        <v>26.0</v>
      </c>
      <c r="N169" s="3">
        <v>5.0</v>
      </c>
      <c r="O169" s="13">
        <f t="shared" si="1"/>
        <v>776</v>
      </c>
    </row>
    <row r="170" ht="15.75" customHeight="1">
      <c r="A170" s="5" t="s">
        <v>289</v>
      </c>
      <c r="B170" s="7">
        <v>46284.0</v>
      </c>
      <c r="C170" s="5" t="s">
        <v>142</v>
      </c>
      <c r="D170" s="5" t="s">
        <v>118</v>
      </c>
      <c r="E170" s="5" t="s">
        <v>65</v>
      </c>
      <c r="F170" s="5" t="s">
        <v>44</v>
      </c>
      <c r="G170" s="3">
        <v>4.0</v>
      </c>
      <c r="H170" s="8">
        <v>690.0</v>
      </c>
      <c r="I170" s="9">
        <v>0.0</v>
      </c>
      <c r="J170" s="8">
        <v>0.0</v>
      </c>
      <c r="K170" s="5" t="s">
        <v>76</v>
      </c>
      <c r="L170" s="10">
        <v>6.5</v>
      </c>
      <c r="M170" s="3">
        <v>36.0</v>
      </c>
      <c r="N170" s="3">
        <v>5.0</v>
      </c>
      <c r="O170" s="13">
        <f t="shared" si="1"/>
        <v>690</v>
      </c>
    </row>
    <row r="171" ht="15.75" customHeight="1">
      <c r="A171" s="5" t="s">
        <v>290</v>
      </c>
      <c r="B171" s="7">
        <v>46284.0</v>
      </c>
      <c r="C171" s="5" t="s">
        <v>61</v>
      </c>
      <c r="D171" s="5" t="s">
        <v>118</v>
      </c>
      <c r="E171" s="5" t="s">
        <v>65</v>
      </c>
      <c r="F171" s="5" t="s">
        <v>110</v>
      </c>
      <c r="G171" s="3">
        <v>3.0</v>
      </c>
      <c r="H171" s="8">
        <v>440.0</v>
      </c>
      <c r="I171" s="9">
        <v>0.05</v>
      </c>
      <c r="J171" s="8">
        <v>30.0</v>
      </c>
      <c r="K171" s="5" t="s">
        <v>111</v>
      </c>
      <c r="L171" s="10">
        <v>10.7</v>
      </c>
      <c r="M171" s="3">
        <v>50.0</v>
      </c>
      <c r="N171" s="3">
        <v>3.0</v>
      </c>
      <c r="O171" s="13">
        <f t="shared" si="1"/>
        <v>448</v>
      </c>
    </row>
    <row r="172" ht="15.75" customHeight="1">
      <c r="A172" s="5" t="s">
        <v>291</v>
      </c>
      <c r="B172" s="7">
        <v>46284.0</v>
      </c>
      <c r="C172" s="5" t="s">
        <v>35</v>
      </c>
      <c r="D172" s="5" t="s">
        <v>124</v>
      </c>
      <c r="E172" s="5" t="s">
        <v>41</v>
      </c>
      <c r="F172" s="5" t="s">
        <v>44</v>
      </c>
      <c r="G172" s="3">
        <v>4.0</v>
      </c>
      <c r="H172" s="8">
        <v>1310.0</v>
      </c>
      <c r="I172" s="9">
        <v>0.15</v>
      </c>
      <c r="J172" s="8">
        <v>0.0</v>
      </c>
      <c r="K172" s="5" t="s">
        <v>111</v>
      </c>
      <c r="L172" s="10">
        <v>7.9</v>
      </c>
      <c r="M172" s="3">
        <v>37.0</v>
      </c>
      <c r="N172" s="3">
        <v>3.0</v>
      </c>
      <c r="O172" s="13">
        <f t="shared" si="1"/>
        <v>1113.5</v>
      </c>
    </row>
    <row r="173" ht="15.75" customHeight="1">
      <c r="A173" s="5" t="s">
        <v>292</v>
      </c>
      <c r="B173" s="7">
        <v>46285.0</v>
      </c>
      <c r="C173" s="5" t="s">
        <v>117</v>
      </c>
      <c r="D173" s="5" t="s">
        <v>130</v>
      </c>
      <c r="E173" s="5" t="s">
        <v>65</v>
      </c>
      <c r="F173" s="5" t="s">
        <v>44</v>
      </c>
      <c r="G173" s="3">
        <v>3.0</v>
      </c>
      <c r="H173" s="8">
        <v>360.0</v>
      </c>
      <c r="I173" s="9">
        <v>0.05</v>
      </c>
      <c r="J173" s="8">
        <v>30.0</v>
      </c>
      <c r="K173" s="5" t="s">
        <v>76</v>
      </c>
      <c r="L173" s="10">
        <v>10.8</v>
      </c>
      <c r="M173" s="3">
        <v>49.0</v>
      </c>
      <c r="N173" s="3">
        <v>4.0</v>
      </c>
      <c r="O173" s="13">
        <f t="shared" si="1"/>
        <v>372</v>
      </c>
    </row>
    <row r="174" ht="15.75" customHeight="1">
      <c r="A174" s="5" t="s">
        <v>293</v>
      </c>
      <c r="B174" s="7">
        <v>46286.0</v>
      </c>
      <c r="C174" s="5" t="s">
        <v>61</v>
      </c>
      <c r="D174" s="5" t="s">
        <v>145</v>
      </c>
      <c r="E174" s="5" t="s">
        <v>41</v>
      </c>
      <c r="F174" s="5" t="s">
        <v>110</v>
      </c>
      <c r="G174" s="3">
        <v>1.0</v>
      </c>
      <c r="H174" s="8">
        <v>140.0</v>
      </c>
      <c r="I174" s="9">
        <v>0.15</v>
      </c>
      <c r="J174" s="8">
        <v>0.0</v>
      </c>
      <c r="K174" s="5" t="s">
        <v>76</v>
      </c>
      <c r="L174" s="10">
        <v>1.1</v>
      </c>
      <c r="M174" s="3">
        <v>17.0</v>
      </c>
      <c r="N174" s="3">
        <v>5.0</v>
      </c>
      <c r="O174" s="13">
        <f t="shared" si="1"/>
        <v>119</v>
      </c>
    </row>
    <row r="175" ht="15.75" customHeight="1">
      <c r="A175" s="5" t="s">
        <v>294</v>
      </c>
      <c r="B175" s="7">
        <v>46286.0</v>
      </c>
      <c r="C175" s="5" t="s">
        <v>117</v>
      </c>
      <c r="D175" s="5" t="s">
        <v>132</v>
      </c>
      <c r="E175" s="5" t="s">
        <v>114</v>
      </c>
      <c r="F175" s="5" t="s">
        <v>44</v>
      </c>
      <c r="G175" s="3">
        <v>1.0</v>
      </c>
      <c r="H175" s="8">
        <v>180.0</v>
      </c>
      <c r="I175" s="9">
        <v>0.1</v>
      </c>
      <c r="J175" s="8">
        <v>30.0</v>
      </c>
      <c r="K175" s="5" t="s">
        <v>127</v>
      </c>
      <c r="L175" s="10">
        <v>7.8</v>
      </c>
      <c r="M175" s="3">
        <v>48.0</v>
      </c>
      <c r="N175" s="3">
        <v>3.0</v>
      </c>
      <c r="O175" s="13">
        <f t="shared" si="1"/>
        <v>192</v>
      </c>
    </row>
    <row r="176" ht="15.75" customHeight="1">
      <c r="A176" s="5" t="s">
        <v>295</v>
      </c>
      <c r="B176" s="7">
        <v>46286.0</v>
      </c>
      <c r="C176" s="5" t="s">
        <v>121</v>
      </c>
      <c r="D176" s="5" t="s">
        <v>145</v>
      </c>
      <c r="E176" s="5" t="s">
        <v>65</v>
      </c>
      <c r="F176" s="5" t="s">
        <v>44</v>
      </c>
      <c r="G176" s="3">
        <v>2.0</v>
      </c>
      <c r="H176" s="8">
        <v>260.0</v>
      </c>
      <c r="I176" s="9">
        <v>0.0</v>
      </c>
      <c r="J176" s="8">
        <v>30.0</v>
      </c>
      <c r="K176" s="5" t="s">
        <v>76</v>
      </c>
      <c r="L176" s="10">
        <v>11.4</v>
      </c>
      <c r="M176" s="3">
        <v>60.0</v>
      </c>
      <c r="N176" s="3">
        <v>3.0</v>
      </c>
      <c r="O176" s="13">
        <f t="shared" si="1"/>
        <v>290</v>
      </c>
    </row>
    <row r="177" ht="15.75" customHeight="1">
      <c r="A177" s="5" t="s">
        <v>296</v>
      </c>
      <c r="B177" s="7">
        <v>46287.0</v>
      </c>
      <c r="C177" s="5" t="s">
        <v>35</v>
      </c>
      <c r="D177" s="5" t="s">
        <v>132</v>
      </c>
      <c r="E177" s="5" t="s">
        <v>114</v>
      </c>
      <c r="F177" s="5" t="s">
        <v>44</v>
      </c>
      <c r="G177" s="3">
        <v>2.0</v>
      </c>
      <c r="H177" s="8">
        <v>420.0</v>
      </c>
      <c r="I177" s="9">
        <v>0.0</v>
      </c>
      <c r="J177" s="8">
        <v>40.0</v>
      </c>
      <c r="K177" s="5" t="s">
        <v>127</v>
      </c>
      <c r="L177" s="10">
        <v>10.1</v>
      </c>
      <c r="M177" s="3">
        <v>57.0</v>
      </c>
      <c r="N177" s="3">
        <v>4.0</v>
      </c>
      <c r="O177" s="13">
        <f t="shared" si="1"/>
        <v>460</v>
      </c>
    </row>
    <row r="178" ht="15.75" customHeight="1">
      <c r="A178" s="5" t="s">
        <v>297</v>
      </c>
      <c r="B178" s="7">
        <v>46287.0</v>
      </c>
      <c r="C178" s="5" t="s">
        <v>142</v>
      </c>
      <c r="D178" s="5" t="s">
        <v>38</v>
      </c>
      <c r="E178" s="5" t="s">
        <v>65</v>
      </c>
      <c r="F178" s="5" t="s">
        <v>44</v>
      </c>
      <c r="G178" s="3">
        <v>1.0</v>
      </c>
      <c r="H178" s="8">
        <v>220.0</v>
      </c>
      <c r="I178" s="9">
        <v>0.1</v>
      </c>
      <c r="J178" s="8">
        <v>30.0</v>
      </c>
      <c r="K178" s="5" t="s">
        <v>87</v>
      </c>
      <c r="L178" s="10">
        <v>4.0</v>
      </c>
      <c r="M178" s="3">
        <v>30.0</v>
      </c>
      <c r="N178" s="3">
        <v>5.0</v>
      </c>
      <c r="O178" s="13">
        <f t="shared" si="1"/>
        <v>228</v>
      </c>
    </row>
    <row r="179" ht="15.75" customHeight="1">
      <c r="A179" s="5" t="s">
        <v>298</v>
      </c>
      <c r="B179" s="7">
        <v>46287.0</v>
      </c>
      <c r="C179" s="5" t="s">
        <v>61</v>
      </c>
      <c r="D179" s="5" t="s">
        <v>124</v>
      </c>
      <c r="E179" s="5" t="s">
        <v>65</v>
      </c>
      <c r="F179" s="5" t="s">
        <v>44</v>
      </c>
      <c r="G179" s="3">
        <v>3.0</v>
      </c>
      <c r="H179" s="8">
        <v>950.0</v>
      </c>
      <c r="I179" s="9">
        <v>0.05</v>
      </c>
      <c r="J179" s="8">
        <v>0.0</v>
      </c>
      <c r="K179" s="5" t="s">
        <v>127</v>
      </c>
      <c r="L179" s="10">
        <v>1.6</v>
      </c>
      <c r="M179" s="3">
        <v>13.0</v>
      </c>
      <c r="N179" s="3">
        <v>5.0</v>
      </c>
      <c r="O179" s="13">
        <f t="shared" si="1"/>
        <v>902.5</v>
      </c>
    </row>
    <row r="180" ht="15.75" customHeight="1">
      <c r="A180" s="5" t="s">
        <v>299</v>
      </c>
      <c r="B180" s="7">
        <v>46287.0</v>
      </c>
      <c r="C180" s="5" t="s">
        <v>121</v>
      </c>
      <c r="D180" s="5" t="s">
        <v>38</v>
      </c>
      <c r="E180" s="5" t="s">
        <v>114</v>
      </c>
      <c r="F180" s="5" t="s">
        <v>44</v>
      </c>
      <c r="G180" s="3">
        <v>2.0</v>
      </c>
      <c r="H180" s="8">
        <v>540.0</v>
      </c>
      <c r="I180" s="9">
        <v>0.2</v>
      </c>
      <c r="J180" s="8">
        <v>0.0</v>
      </c>
      <c r="K180" s="5" t="s">
        <v>76</v>
      </c>
      <c r="L180" s="10">
        <v>0.7</v>
      </c>
      <c r="M180" s="3">
        <v>23.0</v>
      </c>
      <c r="N180" s="3">
        <v>4.0</v>
      </c>
      <c r="O180" s="13">
        <f t="shared" si="1"/>
        <v>432</v>
      </c>
    </row>
    <row r="181" ht="15.75" customHeight="1">
      <c r="A181" s="5" t="s">
        <v>300</v>
      </c>
      <c r="B181" s="7">
        <v>46288.0</v>
      </c>
      <c r="C181" s="5" t="s">
        <v>61</v>
      </c>
      <c r="D181" s="5" t="s">
        <v>124</v>
      </c>
      <c r="E181" s="5" t="s">
        <v>65</v>
      </c>
      <c r="F181" s="5" t="s">
        <v>44</v>
      </c>
      <c r="G181" s="3">
        <v>5.0</v>
      </c>
      <c r="H181" s="8">
        <v>1710.0</v>
      </c>
      <c r="I181" s="9">
        <v>0.05</v>
      </c>
      <c r="J181" s="8">
        <v>0.0</v>
      </c>
      <c r="K181" s="5" t="s">
        <v>87</v>
      </c>
      <c r="L181" s="10">
        <v>11.6</v>
      </c>
      <c r="M181" s="3">
        <v>54.0</v>
      </c>
      <c r="N181" s="3">
        <v>4.0</v>
      </c>
      <c r="O181" s="13">
        <f t="shared" si="1"/>
        <v>1624.5</v>
      </c>
    </row>
    <row r="182" ht="15.75" customHeight="1">
      <c r="A182" s="5" t="s">
        <v>301</v>
      </c>
      <c r="B182" s="7">
        <v>46288.0</v>
      </c>
      <c r="C182" s="5" t="s">
        <v>61</v>
      </c>
      <c r="D182" s="5" t="s">
        <v>145</v>
      </c>
      <c r="E182" s="5" t="s">
        <v>114</v>
      </c>
      <c r="F182" s="5" t="s">
        <v>44</v>
      </c>
      <c r="G182" s="3">
        <v>2.0</v>
      </c>
      <c r="H182" s="8">
        <v>260.0</v>
      </c>
      <c r="I182" s="9">
        <v>0.0</v>
      </c>
      <c r="J182" s="8">
        <v>50.0</v>
      </c>
      <c r="K182" s="5" t="s">
        <v>76</v>
      </c>
      <c r="L182" s="10">
        <v>10.3</v>
      </c>
      <c r="M182" s="3">
        <v>46.0</v>
      </c>
      <c r="N182" s="3">
        <v>3.0</v>
      </c>
      <c r="O182" s="13">
        <f t="shared" si="1"/>
        <v>310</v>
      </c>
    </row>
    <row r="183" ht="15.75" customHeight="1">
      <c r="A183" s="5" t="s">
        <v>302</v>
      </c>
      <c r="B183" s="7">
        <v>46288.0</v>
      </c>
      <c r="C183" s="5" t="s">
        <v>35</v>
      </c>
      <c r="D183" s="5" t="s">
        <v>145</v>
      </c>
      <c r="E183" s="5" t="s">
        <v>65</v>
      </c>
      <c r="F183" s="5" t="s">
        <v>110</v>
      </c>
      <c r="G183" s="3">
        <v>3.0</v>
      </c>
      <c r="H183" s="8">
        <v>360.0</v>
      </c>
      <c r="I183" s="9">
        <v>0.1</v>
      </c>
      <c r="J183" s="8">
        <v>30.0</v>
      </c>
      <c r="K183" s="5" t="s">
        <v>87</v>
      </c>
      <c r="L183" s="10">
        <v>2.7</v>
      </c>
      <c r="M183" s="3">
        <v>29.0</v>
      </c>
      <c r="N183" s="3">
        <v>5.0</v>
      </c>
      <c r="O183" s="13">
        <f t="shared" si="1"/>
        <v>354</v>
      </c>
    </row>
    <row r="184" ht="15.75" customHeight="1">
      <c r="A184" s="5" t="s">
        <v>303</v>
      </c>
      <c r="B184" s="7">
        <v>46288.0</v>
      </c>
      <c r="C184" s="5" t="s">
        <v>121</v>
      </c>
      <c r="D184" s="5" t="s">
        <v>145</v>
      </c>
      <c r="E184" s="5" t="s">
        <v>65</v>
      </c>
      <c r="F184" s="5" t="s">
        <v>44</v>
      </c>
      <c r="G184" s="3">
        <v>5.0</v>
      </c>
      <c r="H184" s="8">
        <v>530.0</v>
      </c>
      <c r="I184" s="9">
        <v>0.1</v>
      </c>
      <c r="J184" s="8">
        <v>0.0</v>
      </c>
      <c r="K184" s="5" t="s">
        <v>76</v>
      </c>
      <c r="L184" s="10">
        <v>1.0</v>
      </c>
      <c r="M184" s="3">
        <v>29.0</v>
      </c>
      <c r="N184" s="3">
        <v>4.0</v>
      </c>
      <c r="O184" s="13">
        <f t="shared" si="1"/>
        <v>477</v>
      </c>
    </row>
    <row r="185" ht="15.75" customHeight="1">
      <c r="A185" s="5" t="s">
        <v>304</v>
      </c>
      <c r="B185" s="7">
        <v>46290.0</v>
      </c>
      <c r="C185" s="5" t="s">
        <v>142</v>
      </c>
      <c r="D185" s="5" t="s">
        <v>145</v>
      </c>
      <c r="E185" s="5" t="s">
        <v>114</v>
      </c>
      <c r="F185" s="5" t="s">
        <v>44</v>
      </c>
      <c r="G185" s="3">
        <v>3.0</v>
      </c>
      <c r="H185" s="8">
        <v>330.0</v>
      </c>
      <c r="I185" s="9">
        <v>0.1</v>
      </c>
      <c r="J185" s="8">
        <v>40.0</v>
      </c>
      <c r="K185" s="5" t="s">
        <v>76</v>
      </c>
      <c r="L185" s="10">
        <v>2.8</v>
      </c>
      <c r="M185" s="3">
        <v>25.0</v>
      </c>
      <c r="N185" s="3">
        <v>5.0</v>
      </c>
      <c r="O185" s="13">
        <f t="shared" si="1"/>
        <v>337</v>
      </c>
    </row>
    <row r="186" ht="15.75" customHeight="1">
      <c r="A186" s="5" t="s">
        <v>305</v>
      </c>
      <c r="B186" s="7">
        <v>46291.0</v>
      </c>
      <c r="C186" s="5" t="s">
        <v>35</v>
      </c>
      <c r="D186" s="5" t="s">
        <v>38</v>
      </c>
      <c r="E186" s="5" t="s">
        <v>65</v>
      </c>
      <c r="F186" s="5" t="s">
        <v>110</v>
      </c>
      <c r="G186" s="3">
        <v>1.0</v>
      </c>
      <c r="H186" s="8">
        <v>280.0</v>
      </c>
      <c r="I186" s="9">
        <v>0.1</v>
      </c>
      <c r="J186" s="8">
        <v>40.0</v>
      </c>
      <c r="K186" s="5" t="s">
        <v>127</v>
      </c>
      <c r="L186" s="10">
        <v>9.4</v>
      </c>
      <c r="M186" s="3">
        <v>45.0</v>
      </c>
      <c r="N186" s="3">
        <v>3.0</v>
      </c>
      <c r="O186" s="13">
        <f t="shared" si="1"/>
        <v>292</v>
      </c>
    </row>
    <row r="187" ht="15.75" customHeight="1">
      <c r="A187" s="5" t="s">
        <v>306</v>
      </c>
      <c r="B187" s="7">
        <v>46292.0</v>
      </c>
      <c r="C187" s="5" t="s">
        <v>35</v>
      </c>
      <c r="D187" s="5" t="s">
        <v>132</v>
      </c>
      <c r="E187" s="5" t="s">
        <v>114</v>
      </c>
      <c r="F187" s="5" t="s">
        <v>44</v>
      </c>
      <c r="G187" s="3">
        <v>2.0</v>
      </c>
      <c r="H187" s="8">
        <v>360.0</v>
      </c>
      <c r="I187" s="9">
        <v>0.0</v>
      </c>
      <c r="J187" s="8">
        <v>50.0</v>
      </c>
      <c r="K187" s="5" t="s">
        <v>111</v>
      </c>
      <c r="L187" s="10">
        <v>2.9</v>
      </c>
      <c r="M187" s="3">
        <v>23.0</v>
      </c>
      <c r="N187" s="3">
        <v>5.0</v>
      </c>
      <c r="O187" s="13">
        <f t="shared" si="1"/>
        <v>410</v>
      </c>
    </row>
    <row r="188" ht="15.75" customHeight="1">
      <c r="A188" s="5" t="s">
        <v>307</v>
      </c>
      <c r="B188" s="7">
        <v>46292.0</v>
      </c>
      <c r="C188" s="5" t="s">
        <v>35</v>
      </c>
      <c r="D188" s="5" t="s">
        <v>38</v>
      </c>
      <c r="E188" s="5" t="s">
        <v>41</v>
      </c>
      <c r="F188" s="5" t="s">
        <v>44</v>
      </c>
      <c r="G188" s="3">
        <v>1.0</v>
      </c>
      <c r="H188" s="8">
        <v>310.0</v>
      </c>
      <c r="I188" s="9">
        <v>0.2</v>
      </c>
      <c r="J188" s="8">
        <v>0.0</v>
      </c>
      <c r="K188" s="5" t="s">
        <v>76</v>
      </c>
      <c r="L188" s="10">
        <v>1.4</v>
      </c>
      <c r="M188" s="3">
        <v>20.0</v>
      </c>
      <c r="N188" s="3">
        <v>5.0</v>
      </c>
      <c r="O188" s="13">
        <f t="shared" si="1"/>
        <v>248</v>
      </c>
    </row>
    <row r="189" ht="15.75" customHeight="1">
      <c r="A189" s="5" t="s">
        <v>308</v>
      </c>
      <c r="B189" s="7">
        <v>46292.0</v>
      </c>
      <c r="C189" s="5" t="s">
        <v>142</v>
      </c>
      <c r="D189" s="5" t="s">
        <v>118</v>
      </c>
      <c r="E189" s="5" t="s">
        <v>114</v>
      </c>
      <c r="F189" s="5" t="s">
        <v>44</v>
      </c>
      <c r="G189" s="3">
        <v>5.0</v>
      </c>
      <c r="H189" s="8">
        <v>920.0</v>
      </c>
      <c r="I189" s="9">
        <v>0.0</v>
      </c>
      <c r="J189" s="8">
        <v>0.0</v>
      </c>
      <c r="K189" s="5" t="s">
        <v>76</v>
      </c>
      <c r="L189" s="10">
        <v>10.3</v>
      </c>
      <c r="M189" s="3">
        <v>51.0</v>
      </c>
      <c r="N189" s="3">
        <v>2.0</v>
      </c>
      <c r="O189" s="13">
        <f t="shared" si="1"/>
        <v>920</v>
      </c>
    </row>
    <row r="190" ht="15.75" customHeight="1">
      <c r="A190" s="5" t="s">
        <v>309</v>
      </c>
      <c r="B190" s="7">
        <v>46293.0</v>
      </c>
      <c r="C190" s="5" t="s">
        <v>142</v>
      </c>
      <c r="D190" s="5" t="s">
        <v>113</v>
      </c>
      <c r="E190" s="5" t="s">
        <v>41</v>
      </c>
      <c r="F190" s="5" t="s">
        <v>44</v>
      </c>
      <c r="G190" s="3">
        <v>3.0</v>
      </c>
      <c r="H190" s="8">
        <v>740.0</v>
      </c>
      <c r="I190" s="9">
        <v>0.15</v>
      </c>
      <c r="J190" s="8">
        <v>0.0</v>
      </c>
      <c r="K190" s="5" t="s">
        <v>127</v>
      </c>
      <c r="L190" s="10">
        <v>10.5</v>
      </c>
      <c r="M190" s="3">
        <v>51.0</v>
      </c>
      <c r="N190" s="3">
        <v>3.0</v>
      </c>
      <c r="O190" s="13">
        <f t="shared" si="1"/>
        <v>629</v>
      </c>
    </row>
    <row r="191" ht="15.75" customHeight="1">
      <c r="A191" s="5" t="s">
        <v>310</v>
      </c>
      <c r="B191" s="7">
        <v>46293.0</v>
      </c>
      <c r="C191" s="5" t="s">
        <v>121</v>
      </c>
      <c r="D191" s="5" t="s">
        <v>132</v>
      </c>
      <c r="E191" s="5" t="s">
        <v>41</v>
      </c>
      <c r="F191" s="5" t="s">
        <v>110</v>
      </c>
      <c r="G191" s="3">
        <v>1.0</v>
      </c>
      <c r="H191" s="8">
        <v>240.0</v>
      </c>
      <c r="I191" s="9">
        <v>0.15</v>
      </c>
      <c r="J191" s="8">
        <v>0.0</v>
      </c>
      <c r="K191" s="5" t="s">
        <v>87</v>
      </c>
      <c r="L191" s="10">
        <v>7.2</v>
      </c>
      <c r="M191" s="3">
        <v>41.0</v>
      </c>
      <c r="N191" s="3">
        <v>4.0</v>
      </c>
      <c r="O191" s="13">
        <f t="shared" si="1"/>
        <v>204</v>
      </c>
    </row>
    <row r="192" ht="15.75" customHeight="1">
      <c r="A192" s="5" t="s">
        <v>311</v>
      </c>
      <c r="B192" s="7">
        <v>46293.0</v>
      </c>
      <c r="C192" s="5" t="s">
        <v>61</v>
      </c>
      <c r="D192" s="5" t="s">
        <v>124</v>
      </c>
      <c r="E192" s="5" t="s">
        <v>41</v>
      </c>
      <c r="F192" s="5" t="s">
        <v>44</v>
      </c>
      <c r="G192" s="3">
        <v>3.0</v>
      </c>
      <c r="H192" s="8">
        <v>1140.0</v>
      </c>
      <c r="I192" s="9">
        <v>0.2</v>
      </c>
      <c r="J192" s="8">
        <v>0.0</v>
      </c>
      <c r="K192" s="5" t="s">
        <v>76</v>
      </c>
      <c r="L192" s="10">
        <v>1.9</v>
      </c>
      <c r="M192" s="3">
        <v>18.0</v>
      </c>
      <c r="N192" s="3"/>
      <c r="O192" s="13">
        <f t="shared" si="1"/>
        <v>912</v>
      </c>
    </row>
    <row r="193" ht="15.75" customHeight="1">
      <c r="A193" s="5" t="s">
        <v>312</v>
      </c>
      <c r="B193" s="7">
        <v>46293.0</v>
      </c>
      <c r="C193" s="5" t="s">
        <v>117</v>
      </c>
      <c r="D193" s="5" t="s">
        <v>113</v>
      </c>
      <c r="E193" s="5" t="s">
        <v>41</v>
      </c>
      <c r="F193" s="5" t="s">
        <v>44</v>
      </c>
      <c r="G193" s="3">
        <v>3.0</v>
      </c>
      <c r="H193" s="8">
        <v>830.0</v>
      </c>
      <c r="I193" s="9">
        <v>0.15</v>
      </c>
      <c r="J193" s="8">
        <v>0.0</v>
      </c>
      <c r="K193" s="5" t="s">
        <v>76</v>
      </c>
      <c r="L193" s="10">
        <v>2.4</v>
      </c>
      <c r="M193" s="3">
        <v>23.0</v>
      </c>
      <c r="N193" s="3">
        <v>5.0</v>
      </c>
      <c r="O193" s="13">
        <f t="shared" si="1"/>
        <v>705.5</v>
      </c>
    </row>
    <row r="194" ht="15.75" customHeight="1">
      <c r="A194" s="5" t="s">
        <v>313</v>
      </c>
      <c r="B194" s="7">
        <v>46294.0</v>
      </c>
      <c r="C194" s="5" t="s">
        <v>117</v>
      </c>
      <c r="D194" s="5" t="s">
        <v>145</v>
      </c>
      <c r="E194" s="5" t="s">
        <v>41</v>
      </c>
      <c r="F194" s="5" t="s">
        <v>110</v>
      </c>
      <c r="G194" s="3">
        <v>2.0</v>
      </c>
      <c r="H194" s="8">
        <v>270.0</v>
      </c>
      <c r="I194" s="9">
        <v>0.15</v>
      </c>
      <c r="J194" s="8">
        <v>0.0</v>
      </c>
      <c r="K194" s="5" t="s">
        <v>76</v>
      </c>
      <c r="L194" s="10">
        <v>5.6</v>
      </c>
      <c r="M194" s="3">
        <v>36.0</v>
      </c>
      <c r="N194" s="3">
        <v>4.0</v>
      </c>
      <c r="O194" s="13">
        <f t="shared" si="1"/>
        <v>229.5</v>
      </c>
    </row>
    <row r="195" ht="15.75" customHeight="1">
      <c r="A195" s="5" t="s">
        <v>314</v>
      </c>
      <c r="B195" s="7">
        <v>46294.0</v>
      </c>
      <c r="C195" s="5" t="s">
        <v>142</v>
      </c>
      <c r="D195" s="5" t="s">
        <v>132</v>
      </c>
      <c r="E195" s="5" t="s">
        <v>114</v>
      </c>
      <c r="F195" s="5" t="s">
        <v>44</v>
      </c>
      <c r="G195" s="3">
        <v>4.0</v>
      </c>
      <c r="H195" s="8">
        <v>660.0</v>
      </c>
      <c r="I195" s="9">
        <v>0.1</v>
      </c>
      <c r="J195" s="8">
        <v>0.0</v>
      </c>
      <c r="K195" s="5" t="s">
        <v>127</v>
      </c>
      <c r="L195" s="10">
        <v>10.3</v>
      </c>
      <c r="M195" s="3">
        <v>49.0</v>
      </c>
      <c r="N195" s="3">
        <v>4.0</v>
      </c>
      <c r="O195" s="13">
        <f t="shared" si="1"/>
        <v>594</v>
      </c>
    </row>
    <row r="196" ht="15.75" customHeight="1">
      <c r="A196" s="5" t="s">
        <v>315</v>
      </c>
      <c r="B196" s="7">
        <v>46294.0</v>
      </c>
      <c r="C196" s="5" t="s">
        <v>142</v>
      </c>
      <c r="D196" s="5" t="s">
        <v>145</v>
      </c>
      <c r="E196" s="5" t="s">
        <v>65</v>
      </c>
      <c r="F196" s="5" t="s">
        <v>44</v>
      </c>
      <c r="G196" s="3">
        <v>5.0</v>
      </c>
      <c r="H196" s="8">
        <v>680.0</v>
      </c>
      <c r="I196" s="9">
        <v>0.1</v>
      </c>
      <c r="J196" s="8">
        <v>0.0</v>
      </c>
      <c r="K196" s="5" t="s">
        <v>111</v>
      </c>
      <c r="L196" s="10">
        <v>11.7</v>
      </c>
      <c r="M196" s="3">
        <v>53.0</v>
      </c>
      <c r="N196" s="3">
        <v>3.0</v>
      </c>
      <c r="O196" s="13">
        <f t="shared" si="1"/>
        <v>612</v>
      </c>
    </row>
    <row r="197" ht="15.75" customHeight="1">
      <c r="A197" s="5" t="s">
        <v>316</v>
      </c>
      <c r="B197" s="7">
        <v>46294.0</v>
      </c>
      <c r="C197" s="5" t="s">
        <v>35</v>
      </c>
      <c r="D197" s="5" t="s">
        <v>118</v>
      </c>
      <c r="E197" s="5" t="s">
        <v>65</v>
      </c>
      <c r="F197" s="5" t="s">
        <v>44</v>
      </c>
      <c r="G197" s="3">
        <v>2.0</v>
      </c>
      <c r="H197" s="8">
        <v>310.0</v>
      </c>
      <c r="I197" s="9">
        <v>0.05</v>
      </c>
      <c r="J197" s="8">
        <v>30.0</v>
      </c>
      <c r="K197" s="5" t="s">
        <v>87</v>
      </c>
      <c r="L197" s="10">
        <v>5.2</v>
      </c>
      <c r="M197" s="3">
        <v>30.0</v>
      </c>
      <c r="N197" s="3">
        <v>3.0</v>
      </c>
      <c r="O197" s="13">
        <f t="shared" si="1"/>
        <v>324.5</v>
      </c>
    </row>
    <row r="198" ht="15.75" customHeight="1">
      <c r="A198" s="5" t="s">
        <v>317</v>
      </c>
      <c r="B198" s="7">
        <v>46294.0</v>
      </c>
      <c r="C198" s="5" t="s">
        <v>35</v>
      </c>
      <c r="D198" s="5" t="s">
        <v>124</v>
      </c>
      <c r="E198" s="5" t="s">
        <v>65</v>
      </c>
      <c r="F198" s="5" t="s">
        <v>44</v>
      </c>
      <c r="G198" s="3">
        <v>4.0</v>
      </c>
      <c r="H198" s="8">
        <v>1150.0</v>
      </c>
      <c r="I198" s="9">
        <v>0.1</v>
      </c>
      <c r="J198" s="8">
        <v>0.0</v>
      </c>
      <c r="K198" s="5" t="s">
        <v>76</v>
      </c>
      <c r="L198" s="10">
        <v>3.9</v>
      </c>
      <c r="M198" s="3">
        <v>98.0</v>
      </c>
      <c r="N198" s="3">
        <v>1.0</v>
      </c>
      <c r="O198" s="13">
        <f t="shared" si="1"/>
        <v>1035</v>
      </c>
    </row>
    <row r="199" ht="15.75" customHeight="1">
      <c r="A199" s="5" t="s">
        <v>318</v>
      </c>
      <c r="B199" s="7">
        <v>46295.0</v>
      </c>
      <c r="C199" s="5" t="s">
        <v>121</v>
      </c>
      <c r="D199" s="5" t="s">
        <v>132</v>
      </c>
      <c r="E199" s="5" t="s">
        <v>114</v>
      </c>
      <c r="F199" s="5" t="s">
        <v>44</v>
      </c>
      <c r="G199" s="3">
        <v>6.0</v>
      </c>
      <c r="H199" s="8">
        <v>1310.0</v>
      </c>
      <c r="I199" s="9">
        <v>0.1</v>
      </c>
      <c r="J199" s="8">
        <v>0.0</v>
      </c>
      <c r="K199" s="5" t="s">
        <v>76</v>
      </c>
      <c r="L199" s="10">
        <v>11.4</v>
      </c>
      <c r="M199" s="3">
        <v>60.0</v>
      </c>
      <c r="N199" s="3">
        <v>3.0</v>
      </c>
      <c r="O199" s="13">
        <f t="shared" si="1"/>
        <v>1179</v>
      </c>
    </row>
    <row r="200" ht="15.75" customHeight="1">
      <c r="A200" s="5" t="s">
        <v>319</v>
      </c>
      <c r="B200" s="7">
        <v>46295.0</v>
      </c>
      <c r="C200" s="5" t="s">
        <v>35</v>
      </c>
      <c r="D200" s="5" t="s">
        <v>113</v>
      </c>
      <c r="E200" s="5" t="s">
        <v>65</v>
      </c>
      <c r="F200" s="5" t="s">
        <v>44</v>
      </c>
      <c r="G200" s="3">
        <v>6.0</v>
      </c>
      <c r="H200" s="8">
        <v>1380.0</v>
      </c>
      <c r="I200" s="9">
        <v>0.0</v>
      </c>
      <c r="J200" s="8">
        <v>0.0</v>
      </c>
      <c r="K200" s="5" t="s">
        <v>76</v>
      </c>
      <c r="L200" s="10">
        <v>5.2</v>
      </c>
      <c r="M200" s="3">
        <v>39.0</v>
      </c>
      <c r="N200" s="3">
        <v>5.0</v>
      </c>
      <c r="O200" s="13">
        <f t="shared" si="1"/>
        <v>1380</v>
      </c>
    </row>
    <row r="201" ht="15.75" customHeight="1">
      <c r="A201" s="5" t="s">
        <v>320</v>
      </c>
      <c r="B201" s="7">
        <v>46295.0</v>
      </c>
      <c r="C201" s="5" t="s">
        <v>35</v>
      </c>
      <c r="D201" s="5" t="s">
        <v>132</v>
      </c>
      <c r="E201" s="5" t="s">
        <v>114</v>
      </c>
      <c r="F201" s="5" t="s">
        <v>44</v>
      </c>
      <c r="G201" s="3">
        <v>3.0</v>
      </c>
      <c r="H201" s="8">
        <v>630.0</v>
      </c>
      <c r="I201" s="9">
        <v>0.2</v>
      </c>
      <c r="J201" s="8">
        <v>0.0</v>
      </c>
      <c r="K201" s="5" t="s">
        <v>87</v>
      </c>
      <c r="L201" s="10">
        <v>3.0</v>
      </c>
      <c r="M201" s="3">
        <v>24.0</v>
      </c>
      <c r="N201" s="3">
        <v>5.0</v>
      </c>
      <c r="O201" s="13">
        <f t="shared" si="1"/>
        <v>504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0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62.0"/>
    <col customWidth="1" min="4" max="4" width="14.0"/>
    <col customWidth="1" min="5" max="5" width="16.0"/>
    <col customWidth="1" min="6" max="26" width="8.71"/>
  </cols>
  <sheetData>
    <row r="1" ht="27.75" customHeight="1">
      <c r="A1" s="2" t="s">
        <v>1</v>
      </c>
      <c r="B1" s="2" t="s">
        <v>9</v>
      </c>
      <c r="C1" s="2" t="s">
        <v>11</v>
      </c>
      <c r="D1" s="2" t="s">
        <v>13</v>
      </c>
      <c r="E1" s="2" t="s">
        <v>15</v>
      </c>
    </row>
    <row r="2">
      <c r="A2" s="3" t="s">
        <v>2</v>
      </c>
      <c r="B2" s="3" t="s">
        <v>24</v>
      </c>
      <c r="C2" s="3" t="s">
        <v>26</v>
      </c>
      <c r="D2" s="3" t="s">
        <v>27</v>
      </c>
      <c r="E2" s="3" t="s">
        <v>28</v>
      </c>
    </row>
    <row r="3">
      <c r="A3" s="3" t="s">
        <v>3</v>
      </c>
      <c r="B3" s="3" t="s">
        <v>29</v>
      </c>
      <c r="C3" s="3" t="s">
        <v>30</v>
      </c>
      <c r="D3" s="3" t="s">
        <v>31</v>
      </c>
      <c r="E3" s="3" t="s">
        <v>32</v>
      </c>
    </row>
    <row r="4">
      <c r="A4" s="3" t="s">
        <v>4</v>
      </c>
      <c r="B4" s="3" t="s">
        <v>33</v>
      </c>
      <c r="C4" s="3" t="s">
        <v>34</v>
      </c>
      <c r="D4" s="3" t="s">
        <v>35</v>
      </c>
      <c r="E4" s="3" t="s">
        <v>36</v>
      </c>
    </row>
    <row r="5">
      <c r="A5" s="3" t="s">
        <v>5</v>
      </c>
      <c r="B5" s="3" t="s">
        <v>33</v>
      </c>
      <c r="C5" s="3" t="s">
        <v>37</v>
      </c>
      <c r="D5" s="3" t="s">
        <v>38</v>
      </c>
      <c r="E5" s="3" t="s">
        <v>39</v>
      </c>
    </row>
    <row r="6">
      <c r="A6" s="3" t="s">
        <v>6</v>
      </c>
      <c r="B6" s="3" t="s">
        <v>33</v>
      </c>
      <c r="C6" s="3" t="s">
        <v>40</v>
      </c>
      <c r="D6" s="3" t="s">
        <v>41</v>
      </c>
      <c r="E6" s="3" t="s">
        <v>42</v>
      </c>
    </row>
    <row r="7">
      <c r="A7" s="3" t="s">
        <v>7</v>
      </c>
      <c r="B7" s="3" t="s">
        <v>33</v>
      </c>
      <c r="C7" s="3" t="s">
        <v>43</v>
      </c>
      <c r="D7" s="3" t="s">
        <v>44</v>
      </c>
      <c r="E7" s="3" t="s">
        <v>45</v>
      </c>
    </row>
    <row r="8">
      <c r="A8" s="3" t="s">
        <v>8</v>
      </c>
      <c r="B8" s="3" t="s">
        <v>46</v>
      </c>
      <c r="C8" s="3" t="s">
        <v>47</v>
      </c>
      <c r="D8" s="3" t="s">
        <v>48</v>
      </c>
      <c r="E8" s="3" t="s">
        <v>50</v>
      </c>
    </row>
    <row r="9">
      <c r="A9" s="3" t="s">
        <v>10</v>
      </c>
      <c r="B9" s="3" t="s">
        <v>53</v>
      </c>
      <c r="C9" s="3" t="s">
        <v>55</v>
      </c>
      <c r="D9" s="3" t="s">
        <v>56</v>
      </c>
      <c r="E9" s="3" t="s">
        <v>57</v>
      </c>
    </row>
    <row r="10">
      <c r="A10" s="3" t="s">
        <v>12</v>
      </c>
      <c r="B10" s="3" t="s">
        <v>60</v>
      </c>
      <c r="C10" s="3" t="s">
        <v>63</v>
      </c>
      <c r="D10" s="3" t="s">
        <v>66</v>
      </c>
      <c r="E10" s="3" t="s">
        <v>42</v>
      </c>
    </row>
    <row r="11">
      <c r="A11" s="3" t="s">
        <v>14</v>
      </c>
      <c r="B11" s="3" t="s">
        <v>53</v>
      </c>
      <c r="C11" s="3" t="s">
        <v>69</v>
      </c>
      <c r="D11" s="3" t="s">
        <v>71</v>
      </c>
      <c r="E11" s="3" t="s">
        <v>42</v>
      </c>
    </row>
    <row r="12">
      <c r="A12" s="3" t="s">
        <v>16</v>
      </c>
      <c r="B12" s="3" t="s">
        <v>33</v>
      </c>
      <c r="C12" s="3" t="s">
        <v>75</v>
      </c>
      <c r="D12" s="3" t="s">
        <v>76</v>
      </c>
      <c r="E12" s="3" t="s">
        <v>42</v>
      </c>
    </row>
    <row r="13">
      <c r="A13" s="3" t="s">
        <v>17</v>
      </c>
      <c r="B13" s="3" t="s">
        <v>78</v>
      </c>
      <c r="C13" s="3" t="s">
        <v>80</v>
      </c>
      <c r="D13" s="3" t="s">
        <v>82</v>
      </c>
      <c r="E13" s="3" t="s">
        <v>58</v>
      </c>
    </row>
    <row r="14">
      <c r="A14" s="3" t="s">
        <v>18</v>
      </c>
      <c r="B14" s="3" t="s">
        <v>84</v>
      </c>
      <c r="C14" s="3" t="s">
        <v>86</v>
      </c>
      <c r="D14" s="3" t="s">
        <v>89</v>
      </c>
      <c r="E14" s="3" t="s">
        <v>91</v>
      </c>
    </row>
    <row r="15">
      <c r="A15" s="3" t="s">
        <v>20</v>
      </c>
      <c r="B15" s="3" t="s">
        <v>94</v>
      </c>
      <c r="C15" s="3" t="s">
        <v>96</v>
      </c>
      <c r="D15" s="3" t="s">
        <v>98</v>
      </c>
      <c r="E15" s="3" t="s">
        <v>58</v>
      </c>
    </row>
    <row r="16">
      <c r="A16" s="3" t="s">
        <v>23</v>
      </c>
      <c r="B16" s="3" t="s">
        <v>53</v>
      </c>
      <c r="C16" s="3" t="s">
        <v>101</v>
      </c>
      <c r="D16" s="3" t="s">
        <v>102</v>
      </c>
      <c r="E16" s="3" t="s">
        <v>103</v>
      </c>
    </row>
    <row r="18">
      <c r="A18" s="11" t="s">
        <v>104</v>
      </c>
    </row>
    <row r="19">
      <c r="A19" s="12" t="s">
        <v>105</v>
      </c>
    </row>
    <row r="20">
      <c r="A20" s="12" t="s">
        <v>106</v>
      </c>
    </row>
    <row r="21" ht="15.75" customHeight="1">
      <c r="A21" s="12" t="s">
        <v>107</v>
      </c>
    </row>
    <row r="22" ht="15.75" customHeight="1">
      <c r="A22" s="12" t="s">
        <v>108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60.0"/>
    <col customWidth="1" min="3" max="3" width="42.0"/>
    <col customWidth="1" min="4" max="4" width="28.0"/>
    <col customWidth="1" min="5" max="5" width="30.0"/>
    <col customWidth="1" min="6" max="26" width="8.71"/>
  </cols>
  <sheetData>
    <row r="1" ht="27.75" customHeight="1">
      <c r="A1" s="2" t="s">
        <v>0</v>
      </c>
      <c r="B1" s="2" t="s">
        <v>19</v>
      </c>
      <c r="C1" s="2" t="s">
        <v>21</v>
      </c>
      <c r="D1" s="2" t="s">
        <v>22</v>
      </c>
      <c r="E1" s="2" t="s">
        <v>25</v>
      </c>
    </row>
    <row r="2">
      <c r="A2" s="6" t="s">
        <v>32</v>
      </c>
      <c r="B2" s="6" t="s">
        <v>49</v>
      </c>
      <c r="C2" s="6" t="s">
        <v>51</v>
      </c>
      <c r="D2" s="6" t="s">
        <v>52</v>
      </c>
      <c r="E2" s="6" t="s">
        <v>54</v>
      </c>
    </row>
    <row r="3">
      <c r="A3" s="6" t="s">
        <v>58</v>
      </c>
      <c r="B3" s="6" t="s">
        <v>59</v>
      </c>
      <c r="C3" s="6" t="s">
        <v>62</v>
      </c>
      <c r="D3" s="6" t="s">
        <v>64</v>
      </c>
      <c r="E3" s="6" t="s">
        <v>67</v>
      </c>
    </row>
    <row r="4">
      <c r="A4" s="6" t="s">
        <v>68</v>
      </c>
      <c r="B4" s="6" t="s">
        <v>70</v>
      </c>
      <c r="C4" s="6" t="s">
        <v>72</v>
      </c>
      <c r="D4" s="6" t="s">
        <v>73</v>
      </c>
      <c r="E4" s="6" t="s">
        <v>74</v>
      </c>
    </row>
    <row r="5">
      <c r="A5" s="6" t="s">
        <v>50</v>
      </c>
      <c r="B5" s="6" t="s">
        <v>77</v>
      </c>
      <c r="C5" s="6" t="s">
        <v>79</v>
      </c>
      <c r="D5" s="6" t="s">
        <v>81</v>
      </c>
      <c r="E5" s="6" t="s">
        <v>83</v>
      </c>
    </row>
    <row r="6">
      <c r="A6" s="6" t="s">
        <v>42</v>
      </c>
      <c r="B6" s="6" t="s">
        <v>85</v>
      </c>
      <c r="C6" s="6" t="s">
        <v>88</v>
      </c>
      <c r="D6" s="6" t="s">
        <v>90</v>
      </c>
      <c r="E6" s="6" t="s">
        <v>92</v>
      </c>
    </row>
    <row r="7">
      <c r="A7" s="6" t="s">
        <v>93</v>
      </c>
      <c r="B7" s="6" t="s">
        <v>95</v>
      </c>
      <c r="C7" s="6" t="s">
        <v>97</v>
      </c>
      <c r="D7" s="6" t="s">
        <v>99</v>
      </c>
      <c r="E7" s="6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